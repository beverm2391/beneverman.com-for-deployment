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beneverman/Documents/My Resources/Higher Education Sensitivity Analysis/"/>
    </mc:Choice>
  </mc:AlternateContent>
  <xr:revisionPtr revIDLastSave="0" documentId="13_ncr:1_{9ACD909C-B161-3340-A998-E641FE5CFEEA}" xr6:coauthVersionLast="47" xr6:coauthVersionMax="47" xr10:uidLastSave="{00000000-0000-0000-0000-000000000000}"/>
  <bookViews>
    <workbookView xWindow="0" yWindow="500" windowWidth="30720" windowHeight="17720" activeTab="1" xr2:uid="{EA9BF89E-D535-C34F-A05C-E7607F562DF9}"/>
  </bookViews>
  <sheets>
    <sheet name="README" sheetId="10" r:id="rId1"/>
    <sheet name="COSTS_Master" sheetId="13" r:id="rId2"/>
    <sheet name="CASHFLOWS_Master" sheetId="14" r:id="rId3"/>
    <sheet name="COSTS_Example" sheetId="11" r:id="rId4"/>
    <sheet name="CASHFLOWS_Example" sheetId="8" r:id="rId5"/>
  </sheet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14" l="1"/>
  <c r="B49" i="14"/>
  <c r="B43" i="14"/>
  <c r="C10" i="14"/>
  <c r="C13" i="14"/>
  <c r="C14" i="13"/>
  <c r="C23" i="13"/>
  <c r="C25" i="13"/>
  <c r="C16" i="14"/>
  <c r="C18" i="14"/>
  <c r="C20" i="14"/>
  <c r="C23" i="14"/>
  <c r="C24" i="14"/>
  <c r="C25" i="14"/>
  <c r="D9" i="14"/>
  <c r="D11" i="14"/>
  <c r="D13" i="14"/>
  <c r="D17" i="14"/>
  <c r="D18" i="14"/>
  <c r="D20" i="14"/>
  <c r="D23" i="14"/>
  <c r="D24" i="14"/>
  <c r="D25" i="14"/>
  <c r="E9" i="14"/>
  <c r="E11" i="14"/>
  <c r="E13" i="14"/>
  <c r="E17" i="14"/>
  <c r="E18" i="14"/>
  <c r="E20" i="14"/>
  <c r="E23" i="14"/>
  <c r="E24" i="14"/>
  <c r="E25" i="14"/>
  <c r="F9" i="14"/>
  <c r="F11" i="14"/>
  <c r="F13" i="14"/>
  <c r="F17" i="14"/>
  <c r="F18" i="14"/>
  <c r="F20" i="14"/>
  <c r="F23" i="14"/>
  <c r="F24" i="14"/>
  <c r="F25" i="14"/>
  <c r="G9" i="14"/>
  <c r="G11" i="14"/>
  <c r="G13" i="14"/>
  <c r="D14" i="13"/>
  <c r="D23" i="13"/>
  <c r="D25" i="13"/>
  <c r="G16" i="14"/>
  <c r="G17" i="14"/>
  <c r="G18" i="14"/>
  <c r="G20" i="14"/>
  <c r="G23" i="14"/>
  <c r="G24" i="14"/>
  <c r="G25" i="14"/>
  <c r="H9" i="14"/>
  <c r="H11" i="14"/>
  <c r="H13" i="14"/>
  <c r="H17" i="14"/>
  <c r="H18" i="14"/>
  <c r="H20" i="14"/>
  <c r="H23" i="14"/>
  <c r="H24" i="14"/>
  <c r="H25" i="14"/>
  <c r="I9" i="14"/>
  <c r="I11" i="14"/>
  <c r="I13" i="14"/>
  <c r="I17" i="14"/>
  <c r="I18" i="14"/>
  <c r="I20" i="14"/>
  <c r="I23" i="14"/>
  <c r="I24" i="14"/>
  <c r="I25" i="14"/>
  <c r="J9" i="14"/>
  <c r="J11" i="14"/>
  <c r="J13" i="14"/>
  <c r="J17" i="14"/>
  <c r="J18" i="14"/>
  <c r="J20" i="14"/>
  <c r="J23" i="14"/>
  <c r="J24" i="14"/>
  <c r="J25" i="14"/>
  <c r="K9" i="14"/>
  <c r="K11" i="14"/>
  <c r="K13" i="14"/>
  <c r="E14" i="13"/>
  <c r="E23" i="13"/>
  <c r="E25" i="13"/>
  <c r="K16" i="14"/>
  <c r="K17" i="14"/>
  <c r="K18" i="14"/>
  <c r="K20" i="14"/>
  <c r="K23" i="14"/>
  <c r="K24" i="14"/>
  <c r="K25" i="14"/>
  <c r="L9" i="14"/>
  <c r="L11" i="14"/>
  <c r="L13" i="14"/>
  <c r="L17" i="14"/>
  <c r="L18" i="14"/>
  <c r="L20" i="14"/>
  <c r="L23" i="14"/>
  <c r="L24" i="14"/>
  <c r="L25" i="14"/>
  <c r="M9" i="14"/>
  <c r="M11" i="14"/>
  <c r="M13" i="14"/>
  <c r="M17" i="14"/>
  <c r="M18" i="14"/>
  <c r="M20" i="14"/>
  <c r="M23" i="14"/>
  <c r="M24" i="14"/>
  <c r="M25" i="14"/>
  <c r="N9" i="14"/>
  <c r="N11" i="14"/>
  <c r="N13" i="14"/>
  <c r="N17" i="14"/>
  <c r="N18" i="14"/>
  <c r="N20" i="14"/>
  <c r="N23" i="14"/>
  <c r="N24" i="14"/>
  <c r="N25" i="14"/>
  <c r="O9" i="14"/>
  <c r="O10" i="14"/>
  <c r="O11" i="14"/>
  <c r="O13" i="14"/>
  <c r="H14" i="13"/>
  <c r="H23" i="13"/>
  <c r="H25" i="13"/>
  <c r="O16" i="14"/>
  <c r="O17" i="14"/>
  <c r="O18" i="14"/>
  <c r="O20" i="14"/>
  <c r="O23" i="14"/>
  <c r="O24" i="14"/>
  <c r="O25" i="14"/>
  <c r="P9" i="14"/>
  <c r="P11" i="14"/>
  <c r="P13" i="14"/>
  <c r="P17" i="14"/>
  <c r="P18" i="14"/>
  <c r="P20" i="14"/>
  <c r="P23" i="14"/>
  <c r="P24" i="14"/>
  <c r="P25" i="14"/>
  <c r="Q9" i="14"/>
  <c r="Q11" i="14"/>
  <c r="Q13" i="14"/>
  <c r="Q17" i="14"/>
  <c r="Q18" i="14"/>
  <c r="Q20" i="14"/>
  <c r="Q23" i="14"/>
  <c r="Q24" i="14"/>
  <c r="Q25" i="14"/>
  <c r="R9" i="14"/>
  <c r="R11" i="14"/>
  <c r="R13" i="14"/>
  <c r="R17" i="14"/>
  <c r="R18" i="14"/>
  <c r="R20" i="14"/>
  <c r="R23" i="14"/>
  <c r="R24" i="14"/>
  <c r="R25" i="14"/>
  <c r="S9" i="14"/>
  <c r="S11" i="14"/>
  <c r="S13" i="14"/>
  <c r="I14" i="13"/>
  <c r="I23" i="13"/>
  <c r="I25" i="13"/>
  <c r="S16" i="14"/>
  <c r="S17" i="14"/>
  <c r="S18" i="14"/>
  <c r="S20" i="14"/>
  <c r="S23" i="14"/>
  <c r="S24" i="14"/>
  <c r="S25" i="14"/>
  <c r="T9" i="14"/>
  <c r="T11" i="14"/>
  <c r="T13" i="14"/>
  <c r="T17" i="14"/>
  <c r="T18" i="14"/>
  <c r="T20" i="14"/>
  <c r="T23" i="14"/>
  <c r="T24" i="14"/>
  <c r="T25" i="14"/>
  <c r="U9" i="14"/>
  <c r="U11" i="14"/>
  <c r="U13" i="14"/>
  <c r="U17" i="14"/>
  <c r="U18" i="14"/>
  <c r="U20" i="14"/>
  <c r="U23" i="14"/>
  <c r="U24" i="14"/>
  <c r="U25" i="14"/>
  <c r="V9" i="14"/>
  <c r="V11" i="14"/>
  <c r="V13" i="14"/>
  <c r="V17" i="14"/>
  <c r="V18" i="14"/>
  <c r="V20" i="14"/>
  <c r="V23" i="14"/>
  <c r="V24" i="14"/>
  <c r="V25" i="14"/>
  <c r="W9" i="14"/>
  <c r="W11" i="14"/>
  <c r="W13" i="14"/>
  <c r="J14" i="13"/>
  <c r="J23" i="13"/>
  <c r="J25" i="13"/>
  <c r="W16" i="14"/>
  <c r="W17" i="14"/>
  <c r="W18" i="14"/>
  <c r="W20" i="14"/>
  <c r="W23" i="14"/>
  <c r="W24" i="14"/>
  <c r="W25" i="14"/>
  <c r="X9" i="14"/>
  <c r="X11" i="14"/>
  <c r="X13" i="14"/>
  <c r="X17" i="14"/>
  <c r="X18" i="14"/>
  <c r="X20" i="14"/>
  <c r="X23" i="14"/>
  <c r="X24" i="14"/>
  <c r="X25" i="14"/>
  <c r="Y9" i="14"/>
  <c r="Y11" i="14"/>
  <c r="Y13" i="14"/>
  <c r="Y17" i="14"/>
  <c r="Y18" i="14"/>
  <c r="Y20" i="14"/>
  <c r="Y23" i="14"/>
  <c r="Y24" i="14"/>
  <c r="Y25" i="14"/>
  <c r="Z9" i="14"/>
  <c r="Z11" i="14"/>
  <c r="Z13" i="14"/>
  <c r="Z17" i="14"/>
  <c r="Z18" i="14"/>
  <c r="Z20" i="14"/>
  <c r="Z23" i="14"/>
  <c r="Z24" i="14"/>
  <c r="Z25" i="14"/>
  <c r="AA9" i="14"/>
  <c r="AA11" i="14"/>
  <c r="AA13" i="14"/>
  <c r="N14" i="13"/>
  <c r="N23" i="13"/>
  <c r="N25" i="13"/>
  <c r="AA16" i="14"/>
  <c r="AA17" i="14"/>
  <c r="AA18" i="14"/>
  <c r="AA20" i="14"/>
  <c r="AA23" i="14"/>
  <c r="AA24" i="14"/>
  <c r="AA25" i="14"/>
  <c r="AB11" i="14"/>
  <c r="E30" i="14"/>
  <c r="AB12" i="14"/>
  <c r="AB13" i="14"/>
  <c r="AB17" i="14"/>
  <c r="AB18" i="14"/>
  <c r="AB20" i="14"/>
  <c r="AB23" i="14"/>
  <c r="AB24" i="14"/>
  <c r="AB25" i="14"/>
  <c r="AC11" i="14"/>
  <c r="AC12" i="14"/>
  <c r="AC13" i="14"/>
  <c r="AC17" i="14"/>
  <c r="AC18" i="14"/>
  <c r="AC20" i="14"/>
  <c r="AC23" i="14"/>
  <c r="AC24" i="14"/>
  <c r="AC25" i="14"/>
  <c r="AD11" i="14"/>
  <c r="AD12" i="14"/>
  <c r="AD13" i="14"/>
  <c r="AD17" i="14"/>
  <c r="AD18" i="14"/>
  <c r="AD20" i="14"/>
  <c r="AD23" i="14"/>
  <c r="AD24" i="14"/>
  <c r="AD25" i="14"/>
  <c r="AE11" i="14"/>
  <c r="AE12" i="14"/>
  <c r="AE13" i="14"/>
  <c r="O14" i="13"/>
  <c r="O23" i="13"/>
  <c r="O25" i="13"/>
  <c r="AE16" i="14"/>
  <c r="AE17" i="14"/>
  <c r="AE18" i="14"/>
  <c r="AE20" i="14"/>
  <c r="AE23" i="14"/>
  <c r="AE24" i="14"/>
  <c r="AE25" i="14"/>
  <c r="AF11" i="14"/>
  <c r="AF12" i="14"/>
  <c r="AF13" i="14"/>
  <c r="AF17" i="14"/>
  <c r="AF18" i="14"/>
  <c r="AF20" i="14"/>
  <c r="AF23" i="14"/>
  <c r="AF24" i="14"/>
  <c r="AF25" i="14"/>
  <c r="AG11" i="14"/>
  <c r="AG12" i="14"/>
  <c r="AG13" i="14"/>
  <c r="F9" i="13"/>
  <c r="F11" i="13"/>
  <c r="F12" i="13"/>
  <c r="F14" i="13"/>
  <c r="F17" i="13"/>
  <c r="F18" i="13"/>
  <c r="F19" i="13"/>
  <c r="F20" i="13"/>
  <c r="F21" i="13"/>
  <c r="F23" i="13"/>
  <c r="F25" i="13"/>
  <c r="B29" i="14"/>
  <c r="AG16" i="14"/>
  <c r="AG17" i="14"/>
  <c r="AG18" i="14"/>
  <c r="AG20" i="14"/>
  <c r="AG23" i="14"/>
  <c r="AG24" i="14"/>
  <c r="AG25" i="14"/>
  <c r="AH11" i="14"/>
  <c r="AH12" i="14"/>
  <c r="AH13" i="14"/>
  <c r="AH17" i="14"/>
  <c r="AH18" i="14"/>
  <c r="AH20" i="14"/>
  <c r="AH23" i="14"/>
  <c r="AH24" i="14"/>
  <c r="AH25" i="14"/>
  <c r="AI11" i="14"/>
  <c r="AI12" i="14"/>
  <c r="AI13" i="14"/>
  <c r="P14" i="13"/>
  <c r="P23" i="13"/>
  <c r="P25" i="13"/>
  <c r="AI16" i="14"/>
  <c r="AI17" i="14"/>
  <c r="AI18" i="14"/>
  <c r="AI20" i="14"/>
  <c r="AI23" i="14"/>
  <c r="AI24" i="14"/>
  <c r="AI25" i="14"/>
  <c r="AJ11" i="14"/>
  <c r="AJ12" i="14"/>
  <c r="AJ13" i="14"/>
  <c r="AJ17" i="14"/>
  <c r="AJ18" i="14"/>
  <c r="AJ20" i="14"/>
  <c r="AJ23" i="14"/>
  <c r="AJ24" i="14"/>
  <c r="AJ25" i="14"/>
  <c r="AK11" i="14"/>
  <c r="AK12" i="14"/>
  <c r="AK13" i="14"/>
  <c r="AK17" i="14"/>
  <c r="AK18" i="14"/>
  <c r="AK20" i="14"/>
  <c r="AK23" i="14"/>
  <c r="AK24" i="14"/>
  <c r="AK25" i="14"/>
  <c r="AL11" i="14"/>
  <c r="AL12" i="14"/>
  <c r="AL13" i="14"/>
  <c r="AL17" i="14"/>
  <c r="AL18" i="14"/>
  <c r="AL20" i="14"/>
  <c r="AL23" i="14"/>
  <c r="AL24" i="14"/>
  <c r="AL25" i="14"/>
  <c r="AM11" i="14"/>
  <c r="AM12" i="14"/>
  <c r="AM13" i="14"/>
  <c r="S14" i="13"/>
  <c r="S23" i="13"/>
  <c r="S25" i="13"/>
  <c r="AM16" i="14"/>
  <c r="AM17" i="14"/>
  <c r="AM18" i="14"/>
  <c r="AM20" i="14"/>
  <c r="AM23" i="14"/>
  <c r="AM24" i="14"/>
  <c r="AM25" i="14"/>
  <c r="AN11" i="14"/>
  <c r="E31" i="14"/>
  <c r="AN12" i="14"/>
  <c r="AN13" i="14"/>
  <c r="AN17" i="14"/>
  <c r="AN18" i="14"/>
  <c r="AN20" i="14"/>
  <c r="AN23" i="14"/>
  <c r="AN24" i="14"/>
  <c r="AN25" i="14"/>
  <c r="AO11" i="14"/>
  <c r="AO12" i="14"/>
  <c r="AO13" i="14"/>
  <c r="AO17" i="14"/>
  <c r="AO18" i="14"/>
  <c r="AO20" i="14"/>
  <c r="AO23" i="14"/>
  <c r="AO24" i="14"/>
  <c r="AO25" i="14"/>
  <c r="AP11" i="14"/>
  <c r="AP12" i="14"/>
  <c r="AP13" i="14"/>
  <c r="AP17" i="14"/>
  <c r="AP18" i="14"/>
  <c r="AP20" i="14"/>
  <c r="AP23" i="14"/>
  <c r="AP24" i="14"/>
  <c r="AP25" i="14"/>
  <c r="AQ11" i="14"/>
  <c r="AQ12" i="14"/>
  <c r="AQ13" i="14"/>
  <c r="T14" i="13"/>
  <c r="T23" i="13"/>
  <c r="T25" i="13"/>
  <c r="AQ16" i="14"/>
  <c r="AQ17" i="14"/>
  <c r="AQ18" i="14"/>
  <c r="AQ20" i="14"/>
  <c r="AQ23" i="14"/>
  <c r="AQ24" i="14"/>
  <c r="AQ25" i="14"/>
  <c r="AR11" i="14"/>
  <c r="AR12" i="14"/>
  <c r="AR13" i="14"/>
  <c r="AR17" i="14"/>
  <c r="AR18" i="14"/>
  <c r="AR20" i="14"/>
  <c r="AR23" i="14"/>
  <c r="AR24" i="14"/>
  <c r="AR25" i="14"/>
  <c r="AS11" i="14"/>
  <c r="AS12" i="14"/>
  <c r="AS13" i="14"/>
  <c r="AS16" i="14"/>
  <c r="AS17" i="14"/>
  <c r="AS18" i="14"/>
  <c r="AS20" i="14"/>
  <c r="AS23" i="14"/>
  <c r="AS24" i="14"/>
  <c r="AS25" i="14"/>
  <c r="AT11" i="14"/>
  <c r="AT12" i="14"/>
  <c r="AT13" i="14"/>
  <c r="AT17" i="14"/>
  <c r="AT18" i="14"/>
  <c r="AT20" i="14"/>
  <c r="AT23" i="14"/>
  <c r="AT24" i="14"/>
  <c r="AT25" i="14"/>
  <c r="AU11" i="14"/>
  <c r="AU12" i="14"/>
  <c r="AU13" i="14"/>
  <c r="U14" i="13"/>
  <c r="U23" i="13"/>
  <c r="U25" i="13"/>
  <c r="AU16" i="14"/>
  <c r="AU17" i="14"/>
  <c r="AU18" i="14"/>
  <c r="AU20" i="14"/>
  <c r="AU23" i="14"/>
  <c r="AU24" i="14"/>
  <c r="AU25" i="14"/>
  <c r="AV11" i="14"/>
  <c r="AV12" i="14"/>
  <c r="AV13" i="14"/>
  <c r="AV17" i="14"/>
  <c r="AV18" i="14"/>
  <c r="AV20" i="14"/>
  <c r="AV23" i="14"/>
  <c r="AV24" i="14"/>
  <c r="AV25" i="14"/>
  <c r="AW11" i="14"/>
  <c r="AW12" i="14"/>
  <c r="AW13" i="14"/>
  <c r="AW17" i="14"/>
  <c r="AW18" i="14"/>
  <c r="AW20" i="14"/>
  <c r="AW23" i="14"/>
  <c r="AW24" i="14"/>
  <c r="AW25" i="14"/>
  <c r="AX11" i="14"/>
  <c r="AX12" i="14"/>
  <c r="AX13" i="14"/>
  <c r="AX17" i="14"/>
  <c r="AX18" i="14"/>
  <c r="AX20" i="14"/>
  <c r="AX23" i="14"/>
  <c r="AX24" i="14"/>
  <c r="AX25" i="14"/>
  <c r="AY11" i="14"/>
  <c r="AY12" i="14"/>
  <c r="AY13" i="14"/>
  <c r="AY17" i="14"/>
  <c r="AY18" i="14"/>
  <c r="AY20" i="14"/>
  <c r="AY23" i="14"/>
  <c r="AY24" i="14"/>
  <c r="AY25" i="14"/>
  <c r="AZ11" i="14"/>
  <c r="E32" i="14"/>
  <c r="AZ12" i="14"/>
  <c r="AZ13" i="14"/>
  <c r="AZ17" i="14"/>
  <c r="AZ18" i="14"/>
  <c r="AZ20" i="14"/>
  <c r="AZ23" i="14"/>
  <c r="AZ24" i="14"/>
  <c r="AZ25" i="14"/>
  <c r="BA11" i="14"/>
  <c r="BA12" i="14"/>
  <c r="BA13" i="14"/>
  <c r="BA17" i="14"/>
  <c r="BA18" i="14"/>
  <c r="BA20" i="14"/>
  <c r="BA23" i="14"/>
  <c r="BA24" i="14"/>
  <c r="BA25" i="14"/>
  <c r="BB11" i="14"/>
  <c r="BB12" i="14"/>
  <c r="BB13" i="14"/>
  <c r="BB17" i="14"/>
  <c r="BB18" i="14"/>
  <c r="BB20" i="14"/>
  <c r="BB23" i="14"/>
  <c r="BB24" i="14"/>
  <c r="BB25" i="14"/>
  <c r="BC11" i="14"/>
  <c r="BC12" i="14"/>
  <c r="BC13" i="14"/>
  <c r="BC17" i="14"/>
  <c r="BC18" i="14"/>
  <c r="BC20" i="14"/>
  <c r="BC23" i="14"/>
  <c r="BC24" i="14"/>
  <c r="BC25" i="14"/>
  <c r="BD11" i="14"/>
  <c r="BD12" i="14"/>
  <c r="BD13" i="14"/>
  <c r="BD17" i="14"/>
  <c r="BD18" i="14"/>
  <c r="BD20" i="14"/>
  <c r="BD23" i="14"/>
  <c r="BD24" i="14"/>
  <c r="BD25" i="14"/>
  <c r="BE11" i="14"/>
  <c r="BE12" i="14"/>
  <c r="BE13" i="14"/>
  <c r="BE17" i="14"/>
  <c r="BE18" i="14"/>
  <c r="BE20" i="14"/>
  <c r="BE23" i="14"/>
  <c r="BE24" i="14"/>
  <c r="BE25" i="14"/>
  <c r="BF11" i="14"/>
  <c r="BF12" i="14"/>
  <c r="BF13" i="14"/>
  <c r="BF17" i="14"/>
  <c r="BF18" i="14"/>
  <c r="BF20" i="14"/>
  <c r="BF23" i="14"/>
  <c r="BF24" i="14"/>
  <c r="BF25" i="14"/>
  <c r="BG11" i="14"/>
  <c r="BG12" i="14"/>
  <c r="BG13" i="14"/>
  <c r="BG17" i="14"/>
  <c r="BG18" i="14"/>
  <c r="BG20" i="14"/>
  <c r="BG23" i="14"/>
  <c r="BG24" i="14"/>
  <c r="BG25" i="14"/>
  <c r="BH11" i="14"/>
  <c r="BH12" i="14"/>
  <c r="BH13" i="14"/>
  <c r="BH17" i="14"/>
  <c r="BH18" i="14"/>
  <c r="BH20" i="14"/>
  <c r="BH23" i="14"/>
  <c r="BH24" i="14"/>
  <c r="BH25" i="14"/>
  <c r="BI11" i="14"/>
  <c r="BI12" i="14"/>
  <c r="BI13" i="14"/>
  <c r="BI17" i="14"/>
  <c r="BI18" i="14"/>
  <c r="BI20" i="14"/>
  <c r="BI23" i="14"/>
  <c r="BI24" i="14"/>
  <c r="BI25" i="14"/>
  <c r="BJ11" i="14"/>
  <c r="BJ12" i="14"/>
  <c r="BJ13" i="14"/>
  <c r="BJ17" i="14"/>
  <c r="BJ18" i="14"/>
  <c r="BJ20" i="14"/>
  <c r="BJ23" i="14"/>
  <c r="BJ24" i="14"/>
  <c r="BJ25" i="14"/>
  <c r="BK11" i="14"/>
  <c r="BK12" i="14"/>
  <c r="BK13" i="14"/>
  <c r="BK17" i="14"/>
  <c r="BK18" i="14"/>
  <c r="BK20" i="14"/>
  <c r="BK23" i="14"/>
  <c r="BK24" i="14"/>
  <c r="BK25" i="14"/>
  <c r="BL11" i="14"/>
  <c r="E33" i="14"/>
  <c r="BL12" i="14"/>
  <c r="BL13" i="14"/>
  <c r="BL17" i="14"/>
  <c r="BL18" i="14"/>
  <c r="BL20" i="14"/>
  <c r="BL23" i="14"/>
  <c r="BL24" i="14"/>
  <c r="BL25" i="14"/>
  <c r="BM11" i="14"/>
  <c r="BM12" i="14"/>
  <c r="BM13" i="14"/>
  <c r="BM17" i="14"/>
  <c r="BM18" i="14"/>
  <c r="BM20" i="14"/>
  <c r="BM23" i="14"/>
  <c r="BM24" i="14"/>
  <c r="BM25" i="14"/>
  <c r="BN11" i="14"/>
  <c r="BN12" i="14"/>
  <c r="BN13" i="14"/>
  <c r="BN17" i="14"/>
  <c r="BN18" i="14"/>
  <c r="BN20" i="14"/>
  <c r="BN23" i="14"/>
  <c r="BN24" i="14"/>
  <c r="BN25" i="14"/>
  <c r="BO11" i="14"/>
  <c r="BO12" i="14"/>
  <c r="BO13" i="14"/>
  <c r="BO17" i="14"/>
  <c r="BO18" i="14"/>
  <c r="BO20" i="14"/>
  <c r="BO23" i="14"/>
  <c r="BO24" i="14"/>
  <c r="BO25" i="14"/>
  <c r="BP11" i="14"/>
  <c r="BP12" i="14"/>
  <c r="BP13" i="14"/>
  <c r="BP17" i="14"/>
  <c r="BP18" i="14"/>
  <c r="BP20" i="14"/>
  <c r="BP23" i="14"/>
  <c r="BP24" i="14"/>
  <c r="BP25" i="14"/>
  <c r="BQ11" i="14"/>
  <c r="BQ12" i="14"/>
  <c r="BQ13" i="14"/>
  <c r="BQ17" i="14"/>
  <c r="BQ18" i="14"/>
  <c r="BQ20" i="14"/>
  <c r="BQ23" i="14"/>
  <c r="BQ24" i="14"/>
  <c r="BQ25" i="14"/>
  <c r="BR11" i="14"/>
  <c r="BR12" i="14"/>
  <c r="BR13" i="14"/>
  <c r="BR17" i="14"/>
  <c r="BR18" i="14"/>
  <c r="BR20" i="14"/>
  <c r="BR23" i="14"/>
  <c r="BR24" i="14"/>
  <c r="BR25" i="14"/>
  <c r="BS11" i="14"/>
  <c r="BS12" i="14"/>
  <c r="BS13" i="14"/>
  <c r="BS17" i="14"/>
  <c r="BS18" i="14"/>
  <c r="BS20" i="14"/>
  <c r="BS23" i="14"/>
  <c r="BS24" i="14"/>
  <c r="BS25" i="14"/>
  <c r="BT11" i="14"/>
  <c r="BT12" i="14"/>
  <c r="BT13" i="14"/>
  <c r="BT17" i="14"/>
  <c r="BT18" i="14"/>
  <c r="BT20" i="14"/>
  <c r="BT23" i="14"/>
  <c r="BT24" i="14"/>
  <c r="BT25" i="14"/>
  <c r="BU11" i="14"/>
  <c r="BU12" i="14"/>
  <c r="BU13" i="14"/>
  <c r="BU17" i="14"/>
  <c r="BU18" i="14"/>
  <c r="BU20" i="14"/>
  <c r="BU23" i="14"/>
  <c r="BU24" i="14"/>
  <c r="BU25" i="14"/>
  <c r="BV11" i="14"/>
  <c r="BV12" i="14"/>
  <c r="BV13" i="14"/>
  <c r="BV17" i="14"/>
  <c r="BV18" i="14"/>
  <c r="BV20" i="14"/>
  <c r="BV23" i="14"/>
  <c r="BV24" i="14"/>
  <c r="BV25" i="14"/>
  <c r="BW11" i="14"/>
  <c r="BW12" i="14"/>
  <c r="BW13" i="14"/>
  <c r="BW17" i="14"/>
  <c r="BW18" i="14"/>
  <c r="BW20" i="14"/>
  <c r="BW23" i="14"/>
  <c r="BW24" i="14"/>
  <c r="BW25" i="14"/>
  <c r="BX11" i="14"/>
  <c r="E34" i="14"/>
  <c r="BX12" i="14"/>
  <c r="BX13" i="14"/>
  <c r="BX17" i="14"/>
  <c r="BX18" i="14"/>
  <c r="BX20" i="14"/>
  <c r="BX23" i="14"/>
  <c r="BX24" i="14"/>
  <c r="BX25" i="14"/>
  <c r="BY11" i="14"/>
  <c r="BY12" i="14"/>
  <c r="BY13" i="14"/>
  <c r="BY17" i="14"/>
  <c r="BY18" i="14"/>
  <c r="BY20" i="14"/>
  <c r="BY23" i="14"/>
  <c r="BY24" i="14"/>
  <c r="BY25" i="14"/>
  <c r="BZ11" i="14"/>
  <c r="BZ12" i="14"/>
  <c r="BZ13" i="14"/>
  <c r="BZ17" i="14"/>
  <c r="BZ18" i="14"/>
  <c r="BZ20" i="14"/>
  <c r="BZ23" i="14"/>
  <c r="BZ24" i="14"/>
  <c r="BZ25" i="14"/>
  <c r="CA11" i="14"/>
  <c r="CA12" i="14"/>
  <c r="CA13" i="14"/>
  <c r="CA17" i="14"/>
  <c r="CA18" i="14"/>
  <c r="CA20" i="14"/>
  <c r="CA23" i="14"/>
  <c r="CA24" i="14"/>
  <c r="CA25" i="14"/>
  <c r="CB11" i="14"/>
  <c r="CB12" i="14"/>
  <c r="CB13" i="14"/>
  <c r="CB17" i="14"/>
  <c r="CB18" i="14"/>
  <c r="CB20" i="14"/>
  <c r="CB23" i="14"/>
  <c r="CB24" i="14"/>
  <c r="CB25" i="14"/>
  <c r="CC11" i="14"/>
  <c r="CC12" i="14"/>
  <c r="CC13" i="14"/>
  <c r="CC17" i="14"/>
  <c r="CC18" i="14"/>
  <c r="CC20" i="14"/>
  <c r="CC23" i="14"/>
  <c r="CC24" i="14"/>
  <c r="CC25" i="14"/>
  <c r="CD11" i="14"/>
  <c r="CD12" i="14"/>
  <c r="CD13" i="14"/>
  <c r="CD17" i="14"/>
  <c r="CD18" i="14"/>
  <c r="CD20" i="14"/>
  <c r="CD23" i="14"/>
  <c r="CD24" i="14"/>
  <c r="CD25" i="14"/>
  <c r="CE11" i="14"/>
  <c r="CE12" i="14"/>
  <c r="CE13" i="14"/>
  <c r="CE17" i="14"/>
  <c r="CE18" i="14"/>
  <c r="CE20" i="14"/>
  <c r="CE23" i="14"/>
  <c r="CE24" i="14"/>
  <c r="CE25" i="14"/>
  <c r="CF11" i="14"/>
  <c r="CF12" i="14"/>
  <c r="CF13" i="14"/>
  <c r="CF17" i="14"/>
  <c r="CF18" i="14"/>
  <c r="CF20" i="14"/>
  <c r="CF23" i="14"/>
  <c r="CF24" i="14"/>
  <c r="CF25" i="14"/>
  <c r="CG11" i="14"/>
  <c r="CG12" i="14"/>
  <c r="CG13" i="14"/>
  <c r="CG17" i="14"/>
  <c r="CG18" i="14"/>
  <c r="CG20" i="14"/>
  <c r="CG23" i="14"/>
  <c r="CG24" i="14"/>
  <c r="CG25" i="14"/>
  <c r="CH11" i="14"/>
  <c r="CH12" i="14"/>
  <c r="CH13" i="14"/>
  <c r="CH17" i="14"/>
  <c r="CH18" i="14"/>
  <c r="CH20" i="14"/>
  <c r="CH23" i="14"/>
  <c r="CH24" i="14"/>
  <c r="CH25" i="14"/>
  <c r="CI11" i="14"/>
  <c r="CI12" i="14"/>
  <c r="CI13" i="14"/>
  <c r="CI17" i="14"/>
  <c r="CI18" i="14"/>
  <c r="CI20" i="14"/>
  <c r="CI23" i="14"/>
  <c r="CI24" i="14"/>
  <c r="CI25" i="14"/>
  <c r="CJ11" i="14"/>
  <c r="E35" i="14"/>
  <c r="CJ12" i="14"/>
  <c r="CJ13" i="14"/>
  <c r="CJ17" i="14"/>
  <c r="CJ18" i="14"/>
  <c r="CJ20" i="14"/>
  <c r="CJ23" i="14"/>
  <c r="CJ24" i="14"/>
  <c r="CJ25" i="14"/>
  <c r="CK11" i="14"/>
  <c r="CK12" i="14"/>
  <c r="CK13" i="14"/>
  <c r="CK17" i="14"/>
  <c r="CK18" i="14"/>
  <c r="CK20" i="14"/>
  <c r="CK23" i="14"/>
  <c r="CK24" i="14"/>
  <c r="CK25" i="14"/>
  <c r="CL11" i="14"/>
  <c r="CL12" i="14"/>
  <c r="CL13" i="14"/>
  <c r="CL17" i="14"/>
  <c r="CL18" i="14"/>
  <c r="CL20" i="14"/>
  <c r="CL23" i="14"/>
  <c r="CL24" i="14"/>
  <c r="CL25" i="14"/>
  <c r="CM11" i="14"/>
  <c r="CM12" i="14"/>
  <c r="CM13" i="14"/>
  <c r="CM17" i="14"/>
  <c r="CM18" i="14"/>
  <c r="CM20" i="14"/>
  <c r="CM23" i="14"/>
  <c r="CM24" i="14"/>
  <c r="CM25" i="14"/>
  <c r="CN11" i="14"/>
  <c r="CN12" i="14"/>
  <c r="CN13" i="14"/>
  <c r="CN17" i="14"/>
  <c r="CN18" i="14"/>
  <c r="CN20" i="14"/>
  <c r="CN23" i="14"/>
  <c r="CN24" i="14"/>
  <c r="CN25" i="14"/>
  <c r="CO11" i="14"/>
  <c r="CO12" i="14"/>
  <c r="CO13" i="14"/>
  <c r="CO17" i="14"/>
  <c r="CO18" i="14"/>
  <c r="CO20" i="14"/>
  <c r="CO23" i="14"/>
  <c r="CO24" i="14"/>
  <c r="CO25" i="14"/>
  <c r="CP11" i="14"/>
  <c r="CP12" i="14"/>
  <c r="CP13" i="14"/>
  <c r="CP17" i="14"/>
  <c r="CP18" i="14"/>
  <c r="CP20" i="14"/>
  <c r="CP23" i="14"/>
  <c r="CP24" i="14"/>
  <c r="CP25" i="14"/>
  <c r="CQ11" i="14"/>
  <c r="CQ12" i="14"/>
  <c r="CQ13" i="14"/>
  <c r="CQ17" i="14"/>
  <c r="CQ18" i="14"/>
  <c r="CQ20" i="14"/>
  <c r="CQ23" i="14"/>
  <c r="CQ24" i="14"/>
  <c r="CQ25" i="14"/>
  <c r="CR11" i="14"/>
  <c r="CR12" i="14"/>
  <c r="CR13" i="14"/>
  <c r="CR17" i="14"/>
  <c r="CR18" i="14"/>
  <c r="CR20" i="14"/>
  <c r="CR23" i="14"/>
  <c r="CR24" i="14"/>
  <c r="CR25" i="14"/>
  <c r="CS11" i="14"/>
  <c r="CS12" i="14"/>
  <c r="CS13" i="14"/>
  <c r="CS17" i="14"/>
  <c r="CS18" i="14"/>
  <c r="CS20" i="14"/>
  <c r="CS23" i="14"/>
  <c r="CS24" i="14"/>
  <c r="CS25" i="14"/>
  <c r="CT11" i="14"/>
  <c r="CT12" i="14"/>
  <c r="CT13" i="14"/>
  <c r="CT17" i="14"/>
  <c r="CT18" i="14"/>
  <c r="CT20" i="14"/>
  <c r="CT23" i="14"/>
  <c r="CT24" i="14"/>
  <c r="CT25" i="14"/>
  <c r="CU11" i="14"/>
  <c r="CU12" i="14"/>
  <c r="CU13" i="14"/>
  <c r="CU17" i="14"/>
  <c r="CU18" i="14"/>
  <c r="CU20" i="14"/>
  <c r="CU23" i="14"/>
  <c r="CU24" i="14"/>
  <c r="CU25" i="14"/>
  <c r="CV11" i="14"/>
  <c r="E36" i="14"/>
  <c r="CV12" i="14"/>
  <c r="CV13" i="14"/>
  <c r="CV17" i="14"/>
  <c r="CV18" i="14"/>
  <c r="CV20" i="14"/>
  <c r="CV23" i="14"/>
  <c r="CV24" i="14"/>
  <c r="CV25" i="14"/>
  <c r="CW11" i="14"/>
  <c r="CW12" i="14"/>
  <c r="CW13" i="14"/>
  <c r="CW17" i="14"/>
  <c r="CW18" i="14"/>
  <c r="CW20" i="14"/>
  <c r="CW23" i="14"/>
  <c r="CW24" i="14"/>
  <c r="CW25" i="14"/>
  <c r="CX11" i="14"/>
  <c r="CX12" i="14"/>
  <c r="CX13" i="14"/>
  <c r="CX17" i="14"/>
  <c r="CX18" i="14"/>
  <c r="CX20" i="14"/>
  <c r="CX23" i="14"/>
  <c r="CX24" i="14"/>
  <c r="CX25" i="14"/>
  <c r="CY11" i="14"/>
  <c r="CY12" i="14"/>
  <c r="CY13" i="14"/>
  <c r="CY17" i="14"/>
  <c r="CY18" i="14"/>
  <c r="CY20" i="14"/>
  <c r="CY23" i="14"/>
  <c r="CY24" i="14"/>
  <c r="CY25" i="14"/>
  <c r="CZ11" i="14"/>
  <c r="CZ12" i="14"/>
  <c r="CZ13" i="14"/>
  <c r="CZ17" i="14"/>
  <c r="CZ18" i="14"/>
  <c r="CZ20" i="14"/>
  <c r="CZ23" i="14"/>
  <c r="CZ24" i="14"/>
  <c r="CZ25" i="14"/>
  <c r="DA11" i="14"/>
  <c r="DA12" i="14"/>
  <c r="DA13" i="14"/>
  <c r="DA17" i="14"/>
  <c r="DA18" i="14"/>
  <c r="DA20" i="14"/>
  <c r="DA23" i="14"/>
  <c r="DA24" i="14"/>
  <c r="DA25" i="14"/>
  <c r="DB11" i="14"/>
  <c r="DB12" i="14"/>
  <c r="DB13" i="14"/>
  <c r="DB17" i="14"/>
  <c r="DB18" i="14"/>
  <c r="DB20" i="14"/>
  <c r="DB23" i="14"/>
  <c r="DB24" i="14"/>
  <c r="DB25" i="14"/>
  <c r="DC11" i="14"/>
  <c r="DC12" i="14"/>
  <c r="DC13" i="14"/>
  <c r="DC17" i="14"/>
  <c r="DC18" i="14"/>
  <c r="DC20" i="14"/>
  <c r="DC23" i="14"/>
  <c r="DC24" i="14"/>
  <c r="DC25" i="14"/>
  <c r="DD11" i="14"/>
  <c r="DD12" i="14"/>
  <c r="DD13" i="14"/>
  <c r="DD17" i="14"/>
  <c r="DD18" i="14"/>
  <c r="DD20" i="14"/>
  <c r="DD23" i="14"/>
  <c r="DD24" i="14"/>
  <c r="DD25" i="14"/>
  <c r="DE11" i="14"/>
  <c r="DE12" i="14"/>
  <c r="DE13" i="14"/>
  <c r="DE17" i="14"/>
  <c r="DE18" i="14"/>
  <c r="DE20" i="14"/>
  <c r="DE23" i="14"/>
  <c r="DE24" i="14"/>
  <c r="DE25" i="14"/>
  <c r="DF11" i="14"/>
  <c r="DF12" i="14"/>
  <c r="DF13" i="14"/>
  <c r="DF17" i="14"/>
  <c r="DF18" i="14"/>
  <c r="DF20" i="14"/>
  <c r="DF23" i="14"/>
  <c r="DF24" i="14"/>
  <c r="DF25" i="14"/>
  <c r="DG11" i="14"/>
  <c r="DG12" i="14"/>
  <c r="DG13" i="14"/>
  <c r="DG17" i="14"/>
  <c r="DG18" i="14"/>
  <c r="DG20" i="14"/>
  <c r="DG23" i="14"/>
  <c r="DG24" i="14"/>
  <c r="DG25" i="14"/>
  <c r="DH11" i="14"/>
  <c r="DH12" i="14"/>
  <c r="DH13" i="14"/>
  <c r="DH17" i="14"/>
  <c r="DH18" i="14"/>
  <c r="DH20" i="14"/>
  <c r="DH23" i="14"/>
  <c r="DH24" i="14"/>
  <c r="DH25" i="14"/>
  <c r="DI11" i="14"/>
  <c r="DI12" i="14"/>
  <c r="DI13" i="14"/>
  <c r="DI17" i="14"/>
  <c r="DI18" i="14"/>
  <c r="DI20" i="14"/>
  <c r="DI23" i="14"/>
  <c r="DI24" i="14"/>
  <c r="DI25" i="14"/>
  <c r="DJ11" i="14"/>
  <c r="DJ12" i="14"/>
  <c r="DJ13" i="14"/>
  <c r="DJ17" i="14"/>
  <c r="DJ18" i="14"/>
  <c r="DJ20" i="14"/>
  <c r="DJ23" i="14"/>
  <c r="DJ24" i="14"/>
  <c r="DJ25" i="14"/>
  <c r="DK11" i="14"/>
  <c r="DK12" i="14"/>
  <c r="DK13" i="14"/>
  <c r="DK17" i="14"/>
  <c r="DK18" i="14"/>
  <c r="DK20" i="14"/>
  <c r="DK23" i="14"/>
  <c r="DK24" i="14"/>
  <c r="DK25" i="14"/>
  <c r="DL11" i="14"/>
  <c r="DL12" i="14"/>
  <c r="DL13" i="14"/>
  <c r="DL17" i="14"/>
  <c r="DL18" i="14"/>
  <c r="DL20" i="14"/>
  <c r="DL23" i="14"/>
  <c r="DL24" i="14"/>
  <c r="DL25" i="14"/>
  <c r="DM11" i="14"/>
  <c r="DM12" i="14"/>
  <c r="DM13" i="14"/>
  <c r="DM17" i="14"/>
  <c r="DM18" i="14"/>
  <c r="DM20" i="14"/>
  <c r="DM23" i="14"/>
  <c r="DM24" i="14"/>
  <c r="DM25" i="14"/>
  <c r="DN11" i="14"/>
  <c r="DN12" i="14"/>
  <c r="DN13" i="14"/>
  <c r="DN17" i="14"/>
  <c r="DN18" i="14"/>
  <c r="DN20" i="14"/>
  <c r="DN23" i="14"/>
  <c r="DN24" i="14"/>
  <c r="DN25" i="14"/>
  <c r="DO11" i="14"/>
  <c r="DO12" i="14"/>
  <c r="DO13" i="14"/>
  <c r="DO17" i="14"/>
  <c r="DO18" i="14"/>
  <c r="DO20" i="14"/>
  <c r="DO23" i="14"/>
  <c r="DO24" i="14"/>
  <c r="DO25" i="14"/>
  <c r="DP11" i="14"/>
  <c r="DP12" i="14"/>
  <c r="DP13" i="14"/>
  <c r="DP17" i="14"/>
  <c r="DP18" i="14"/>
  <c r="DP20" i="14"/>
  <c r="DP23" i="14"/>
  <c r="DP24" i="14"/>
  <c r="DP25" i="14"/>
  <c r="DQ11" i="14"/>
  <c r="DQ12" i="14"/>
  <c r="DQ13" i="14"/>
  <c r="DQ17" i="14"/>
  <c r="DQ18" i="14"/>
  <c r="DQ20" i="14"/>
  <c r="DQ23" i="14"/>
  <c r="DQ24" i="14"/>
  <c r="DQ25" i="14"/>
  <c r="DR11" i="14"/>
  <c r="DR12" i="14"/>
  <c r="DR13" i="14"/>
  <c r="DR17" i="14"/>
  <c r="DR18" i="14"/>
  <c r="DR20" i="14"/>
  <c r="DR23" i="14"/>
  <c r="DR24" i="14"/>
  <c r="DR25" i="14"/>
  <c r="DS11" i="14"/>
  <c r="DS12" i="14"/>
  <c r="DS13" i="14"/>
  <c r="DS17" i="14"/>
  <c r="DS18" i="14"/>
  <c r="DS20" i="14"/>
  <c r="DS23" i="14"/>
  <c r="DS24" i="14"/>
  <c r="DS25" i="14"/>
  <c r="DT11" i="14"/>
  <c r="DT12" i="14"/>
  <c r="DT13" i="14"/>
  <c r="DT17" i="14"/>
  <c r="DT18" i="14"/>
  <c r="DT20" i="14"/>
  <c r="DT23" i="14"/>
  <c r="DT24" i="14"/>
  <c r="DT25" i="14"/>
  <c r="DU11" i="14"/>
  <c r="DU12" i="14"/>
  <c r="DU13" i="14"/>
  <c r="DU17" i="14"/>
  <c r="DU18" i="14"/>
  <c r="DU20" i="14"/>
  <c r="DU23" i="14"/>
  <c r="DU24" i="14"/>
  <c r="DU25" i="14"/>
  <c r="DV11" i="14"/>
  <c r="DV12" i="14"/>
  <c r="DV13" i="14"/>
  <c r="DV17" i="14"/>
  <c r="DV18" i="14"/>
  <c r="DV20" i="14"/>
  <c r="DV23" i="14"/>
  <c r="DV24" i="14"/>
  <c r="DV25" i="14"/>
  <c r="DW11" i="14"/>
  <c r="DW12" i="14"/>
  <c r="DW13" i="14"/>
  <c r="DW17" i="14"/>
  <c r="DW18" i="14"/>
  <c r="DW20" i="14"/>
  <c r="DW23" i="14"/>
  <c r="DW24" i="14"/>
  <c r="DW25" i="14"/>
  <c r="DX11" i="14"/>
  <c r="DX12" i="14"/>
  <c r="DX13" i="14"/>
  <c r="DX17" i="14"/>
  <c r="DX18" i="14"/>
  <c r="DX20" i="14"/>
  <c r="DX23" i="14"/>
  <c r="DX24" i="14"/>
  <c r="DX25" i="14"/>
  <c r="DY11" i="14"/>
  <c r="DY12" i="14"/>
  <c r="DY13" i="14"/>
  <c r="DY17" i="14"/>
  <c r="DY18" i="14"/>
  <c r="DY20" i="14"/>
  <c r="DY23" i="14"/>
  <c r="DY24" i="14"/>
  <c r="DY25" i="14"/>
  <c r="DZ11" i="14"/>
  <c r="DZ12" i="14"/>
  <c r="DZ13" i="14"/>
  <c r="DZ17" i="14"/>
  <c r="DZ18" i="14"/>
  <c r="DZ20" i="14"/>
  <c r="DZ23" i="14"/>
  <c r="DZ24" i="14"/>
  <c r="DZ25" i="14"/>
  <c r="EA11" i="14"/>
  <c r="EA12" i="14"/>
  <c r="EA13" i="14"/>
  <c r="EA17" i="14"/>
  <c r="EA18" i="14"/>
  <c r="EA20" i="14"/>
  <c r="EA23" i="14"/>
  <c r="EA24" i="14"/>
  <c r="EA25" i="14"/>
  <c r="EB11" i="14"/>
  <c r="EB12" i="14"/>
  <c r="EB13" i="14"/>
  <c r="EB17" i="14"/>
  <c r="EB18" i="14"/>
  <c r="EB20" i="14"/>
  <c r="EB23" i="14"/>
  <c r="EB24" i="14"/>
  <c r="EB25" i="14"/>
  <c r="EC11" i="14"/>
  <c r="EC12" i="14"/>
  <c r="EC13" i="14"/>
  <c r="EC17" i="14"/>
  <c r="EC18" i="14"/>
  <c r="EC20" i="14"/>
  <c r="EC23" i="14"/>
  <c r="EC24" i="14"/>
  <c r="EC25" i="14"/>
  <c r="ED11" i="14"/>
  <c r="ED12" i="14"/>
  <c r="ED13" i="14"/>
  <c r="ED17" i="14"/>
  <c r="ED18" i="14"/>
  <c r="ED20" i="14"/>
  <c r="ED23" i="14"/>
  <c r="ED24" i="14"/>
  <c r="ED25" i="14"/>
  <c r="EE11" i="14"/>
  <c r="EE12" i="14"/>
  <c r="EE13" i="14"/>
  <c r="EE17" i="14"/>
  <c r="EE18" i="14"/>
  <c r="EE20" i="14"/>
  <c r="EE23" i="14"/>
  <c r="EE24" i="14"/>
  <c r="EE25" i="14"/>
  <c r="EF11" i="14"/>
  <c r="EF12" i="14"/>
  <c r="EF13" i="14"/>
  <c r="EF17" i="14"/>
  <c r="EF18" i="14"/>
  <c r="EF20" i="14"/>
  <c r="EF23" i="14"/>
  <c r="EF24" i="14"/>
  <c r="EF25" i="14"/>
  <c r="EG11" i="14"/>
  <c r="EG12" i="14"/>
  <c r="EG13" i="14"/>
  <c r="EG17" i="14"/>
  <c r="EG18" i="14"/>
  <c r="EG20" i="14"/>
  <c r="EG23" i="14"/>
  <c r="EG24" i="14"/>
  <c r="EG25" i="14"/>
  <c r="EH11" i="14"/>
  <c r="EH12" i="14"/>
  <c r="EH13" i="14"/>
  <c r="EH17" i="14"/>
  <c r="EH18" i="14"/>
  <c r="EH20" i="14"/>
  <c r="EH23" i="14"/>
  <c r="EH24" i="14"/>
  <c r="EH25" i="14"/>
  <c r="EI11" i="14"/>
  <c r="EI12" i="14"/>
  <c r="EI13" i="14"/>
  <c r="EI17" i="14"/>
  <c r="EI18" i="14"/>
  <c r="EI20" i="14"/>
  <c r="EI23" i="14"/>
  <c r="EI24" i="14"/>
  <c r="EI25" i="14"/>
  <c r="EJ11" i="14"/>
  <c r="EJ12" i="14"/>
  <c r="EJ13" i="14"/>
  <c r="EJ17" i="14"/>
  <c r="EJ18" i="14"/>
  <c r="EJ20" i="14"/>
  <c r="EJ23" i="14"/>
  <c r="EJ24" i="14"/>
  <c r="EJ25" i="14"/>
  <c r="EK11" i="14"/>
  <c r="EK12" i="14"/>
  <c r="EK13" i="14"/>
  <c r="EK17" i="14"/>
  <c r="EK18" i="14"/>
  <c r="EK20" i="14"/>
  <c r="EK23" i="14"/>
  <c r="EK24" i="14"/>
  <c r="EK25" i="14"/>
  <c r="EL11" i="14"/>
  <c r="EL12" i="14"/>
  <c r="EL13" i="14"/>
  <c r="EL17" i="14"/>
  <c r="EL18" i="14"/>
  <c r="EL20" i="14"/>
  <c r="EL23" i="14"/>
  <c r="EL24" i="14"/>
  <c r="EL25" i="14"/>
  <c r="EM11" i="14"/>
  <c r="EM12" i="14"/>
  <c r="EM13" i="14"/>
  <c r="EM17" i="14"/>
  <c r="EM18" i="14"/>
  <c r="EM20" i="14"/>
  <c r="EM23" i="14"/>
  <c r="EM24" i="14"/>
  <c r="EM25" i="14"/>
  <c r="EN11" i="14"/>
  <c r="EN12" i="14"/>
  <c r="EN13" i="14"/>
  <c r="EN17" i="14"/>
  <c r="EN18" i="14"/>
  <c r="EN20" i="14"/>
  <c r="EN23" i="14"/>
  <c r="EN24" i="14"/>
  <c r="EN25" i="14"/>
  <c r="EO11" i="14"/>
  <c r="EO12" i="14"/>
  <c r="EO13" i="14"/>
  <c r="EO17" i="14"/>
  <c r="EO18" i="14"/>
  <c r="EO20" i="14"/>
  <c r="EO23" i="14"/>
  <c r="EO24" i="14"/>
  <c r="EO25" i="14"/>
  <c r="EP11" i="14"/>
  <c r="EP12" i="14"/>
  <c r="EP13" i="14"/>
  <c r="EP17" i="14"/>
  <c r="EP18" i="14"/>
  <c r="EP20" i="14"/>
  <c r="EP23" i="14"/>
  <c r="EP24" i="14"/>
  <c r="EP25" i="14"/>
  <c r="EQ11" i="14"/>
  <c r="EQ12" i="14"/>
  <c r="EQ13" i="14"/>
  <c r="EQ17" i="14"/>
  <c r="EQ18" i="14"/>
  <c r="EQ20" i="14"/>
  <c r="EQ23" i="14"/>
  <c r="EQ24" i="14"/>
  <c r="EQ25" i="14"/>
  <c r="ER11" i="14"/>
  <c r="ER12" i="14"/>
  <c r="ER13" i="14"/>
  <c r="ER17" i="14"/>
  <c r="ER18" i="14"/>
  <c r="ER20" i="14"/>
  <c r="ER23" i="14"/>
  <c r="ER24" i="14"/>
  <c r="ER25" i="14"/>
  <c r="ES11" i="14"/>
  <c r="ES12" i="14"/>
  <c r="ES13" i="14"/>
  <c r="ES17" i="14"/>
  <c r="ES18" i="14"/>
  <c r="ES20" i="14"/>
  <c r="ES23" i="14"/>
  <c r="ES24" i="14"/>
  <c r="ES25" i="14"/>
  <c r="ET11" i="14"/>
  <c r="ET12" i="14"/>
  <c r="ET13" i="14"/>
  <c r="ET17" i="14"/>
  <c r="ET18" i="14"/>
  <c r="ET20" i="14"/>
  <c r="ET23" i="14"/>
  <c r="ET24" i="14"/>
  <c r="ET25" i="14"/>
  <c r="EU11" i="14"/>
  <c r="EU12" i="14"/>
  <c r="EU13" i="14"/>
  <c r="EU17" i="14"/>
  <c r="EU18" i="14"/>
  <c r="EU20" i="14"/>
  <c r="EU23" i="14"/>
  <c r="EU24" i="14"/>
  <c r="EU25" i="14"/>
  <c r="EV11" i="14"/>
  <c r="EV12" i="14"/>
  <c r="EV13" i="14"/>
  <c r="EV17" i="14"/>
  <c r="EV18" i="14"/>
  <c r="EV20" i="14"/>
  <c r="EV23" i="14"/>
  <c r="EV24" i="14"/>
  <c r="EV25" i="14"/>
  <c r="EW11" i="14"/>
  <c r="EW12" i="14"/>
  <c r="EW13" i="14"/>
  <c r="EW17" i="14"/>
  <c r="EW18" i="14"/>
  <c r="EW20" i="14"/>
  <c r="EW23" i="14"/>
  <c r="EW24" i="14"/>
  <c r="EW25" i="14"/>
  <c r="EX11" i="14"/>
  <c r="EX12" i="14"/>
  <c r="EX13" i="14"/>
  <c r="EX17" i="14"/>
  <c r="EX18" i="14"/>
  <c r="EX20" i="14"/>
  <c r="EX23" i="14"/>
  <c r="EX24" i="14"/>
  <c r="EX25" i="14"/>
  <c r="EY11" i="14"/>
  <c r="EY12" i="14"/>
  <c r="EY13" i="14"/>
  <c r="EY17" i="14"/>
  <c r="EY18" i="14"/>
  <c r="EY20" i="14"/>
  <c r="EY23" i="14"/>
  <c r="EY24" i="14"/>
  <c r="EY25" i="14"/>
  <c r="EZ11" i="14"/>
  <c r="EZ12" i="14"/>
  <c r="EZ13" i="14"/>
  <c r="EZ17" i="14"/>
  <c r="EZ18" i="14"/>
  <c r="EZ20" i="14"/>
  <c r="EZ23" i="14"/>
  <c r="EZ24" i="14"/>
  <c r="EZ25" i="14"/>
  <c r="FA11" i="14"/>
  <c r="FA12" i="14"/>
  <c r="FA13" i="14"/>
  <c r="FA17" i="14"/>
  <c r="FA18" i="14"/>
  <c r="FA20" i="14"/>
  <c r="FA23" i="14"/>
  <c r="FA24" i="14"/>
  <c r="FA25" i="14"/>
  <c r="FB11" i="14"/>
  <c r="FB12" i="14"/>
  <c r="FB13" i="14"/>
  <c r="FB17" i="14"/>
  <c r="FB18" i="14"/>
  <c r="FB20" i="14"/>
  <c r="FB23" i="14"/>
  <c r="FB24" i="14"/>
  <c r="FB25" i="14"/>
  <c r="FC11" i="14"/>
  <c r="FC12" i="14"/>
  <c r="FC13" i="14"/>
  <c r="FC17" i="14"/>
  <c r="FC18" i="14"/>
  <c r="FC20" i="14"/>
  <c r="FC23" i="14"/>
  <c r="FC24" i="14"/>
  <c r="FC25" i="14"/>
  <c r="FD11" i="14"/>
  <c r="FD12" i="14"/>
  <c r="FD13" i="14"/>
  <c r="FD17" i="14"/>
  <c r="FD18" i="14"/>
  <c r="FD20" i="14"/>
  <c r="FD23" i="14"/>
  <c r="FD24" i="14"/>
  <c r="FD25" i="14"/>
  <c r="FE11" i="14"/>
  <c r="FE12" i="14"/>
  <c r="FE13" i="14"/>
  <c r="FE17" i="14"/>
  <c r="FE18" i="14"/>
  <c r="FE20" i="14"/>
  <c r="FE23" i="14"/>
  <c r="FE24" i="14"/>
  <c r="FE25" i="14"/>
  <c r="FF11" i="14"/>
  <c r="FF12" i="14"/>
  <c r="FF13" i="14"/>
  <c r="FF17" i="14"/>
  <c r="FF18" i="14"/>
  <c r="FF20" i="14"/>
  <c r="FF23" i="14"/>
  <c r="FF24" i="14"/>
  <c r="FF25" i="14"/>
  <c r="FG11" i="14"/>
  <c r="FG12" i="14"/>
  <c r="FG13" i="14"/>
  <c r="FG17" i="14"/>
  <c r="FG18" i="14"/>
  <c r="FG20" i="14"/>
  <c r="FG23" i="14"/>
  <c r="FG24" i="14"/>
  <c r="FG25" i="14"/>
  <c r="FH11" i="14"/>
  <c r="FH12" i="14"/>
  <c r="FH13" i="14"/>
  <c r="FH17" i="14"/>
  <c r="FH18" i="14"/>
  <c r="FH20" i="14"/>
  <c r="FH23" i="14"/>
  <c r="FH24" i="14"/>
  <c r="FH25" i="14"/>
  <c r="B46" i="14"/>
  <c r="B47" i="14"/>
  <c r="B45" i="14"/>
  <c r="C30" i="13"/>
  <c r="G34" i="13"/>
  <c r="C31" i="13"/>
  <c r="C32" i="13"/>
  <c r="C33" i="13"/>
  <c r="C34" i="13"/>
  <c r="C35" i="13"/>
  <c r="C36" i="13"/>
  <c r="C37" i="13"/>
  <c r="C38" i="13"/>
  <c r="C39" i="13"/>
  <c r="C40" i="13"/>
  <c r="C41" i="13"/>
  <c r="C42" i="13"/>
  <c r="C43" i="13"/>
  <c r="V9" i="13"/>
  <c r="V11" i="13"/>
  <c r="V12" i="13"/>
  <c r="V14" i="13"/>
  <c r="V17" i="13"/>
  <c r="V18" i="13"/>
  <c r="V19" i="13"/>
  <c r="V20" i="13"/>
  <c r="V21" i="13"/>
  <c r="V23" i="13"/>
  <c r="V25" i="13"/>
  <c r="Q9" i="13"/>
  <c r="Q11" i="13"/>
  <c r="Q12" i="13"/>
  <c r="Q14" i="13"/>
  <c r="Q17" i="13"/>
  <c r="Q18" i="13"/>
  <c r="Q19" i="13"/>
  <c r="Q20" i="13"/>
  <c r="Q21" i="13"/>
  <c r="Q23" i="13"/>
  <c r="Q25" i="13"/>
  <c r="K9" i="13"/>
  <c r="L9" i="13"/>
  <c r="K11" i="13"/>
  <c r="L11" i="13"/>
  <c r="K12" i="13"/>
  <c r="L12" i="13"/>
  <c r="L14" i="13"/>
  <c r="K17" i="13"/>
  <c r="L17" i="13"/>
  <c r="K18" i="13"/>
  <c r="L18" i="13"/>
  <c r="K19" i="13"/>
  <c r="L19" i="13"/>
  <c r="K20" i="13"/>
  <c r="L20" i="13"/>
  <c r="K21" i="13"/>
  <c r="L21" i="13"/>
  <c r="L23" i="13"/>
  <c r="L25" i="13"/>
  <c r="W25" i="13"/>
  <c r="D27" i="13"/>
  <c r="C27" i="13"/>
  <c r="K14" i="13"/>
  <c r="K23" i="13"/>
  <c r="K25" i="13"/>
  <c r="W23" i="13"/>
  <c r="W21" i="13"/>
  <c r="W20" i="13"/>
  <c r="W19" i="13"/>
  <c r="W18" i="13"/>
  <c r="W17" i="13"/>
  <c r="W14" i="13"/>
  <c r="W12" i="13"/>
  <c r="W11" i="13"/>
  <c r="W9" i="13"/>
  <c r="N2" i="13"/>
  <c r="N9" i="11"/>
  <c r="O9" i="11"/>
  <c r="N18" i="11"/>
  <c r="O18" i="11"/>
  <c r="N19" i="11"/>
  <c r="O19" i="11"/>
  <c r="N20" i="11"/>
  <c r="O20" i="11"/>
  <c r="S9" i="11"/>
  <c r="T9" i="11"/>
  <c r="S18" i="11"/>
  <c r="T18" i="11"/>
  <c r="S19" i="11"/>
  <c r="T19" i="11"/>
  <c r="S20" i="11"/>
  <c r="T20" i="11"/>
  <c r="U14" i="11"/>
  <c r="U23" i="11"/>
  <c r="U25" i="11"/>
  <c r="AU16" i="8"/>
  <c r="T14" i="11"/>
  <c r="T23" i="11"/>
  <c r="T25" i="11"/>
  <c r="AQ16" i="8"/>
  <c r="S14" i="11"/>
  <c r="S23" i="11"/>
  <c r="S25" i="11"/>
  <c r="AM16" i="8"/>
  <c r="P14" i="11"/>
  <c r="P23" i="11"/>
  <c r="P25" i="11"/>
  <c r="AI16" i="8"/>
  <c r="O14" i="11"/>
  <c r="O23" i="11"/>
  <c r="O25" i="11"/>
  <c r="AE16" i="8"/>
  <c r="N14" i="11"/>
  <c r="N23" i="11"/>
  <c r="N25" i="11"/>
  <c r="AA16" i="8"/>
  <c r="J14" i="11"/>
  <c r="J23" i="11"/>
  <c r="J25" i="11"/>
  <c r="W16" i="8"/>
  <c r="I9" i="11"/>
  <c r="I14" i="11"/>
  <c r="I18" i="11"/>
  <c r="I19" i="11"/>
  <c r="I20" i="11"/>
  <c r="I23" i="11"/>
  <c r="I25" i="11"/>
  <c r="S16" i="8"/>
  <c r="H9" i="11"/>
  <c r="H14" i="11"/>
  <c r="H18" i="11"/>
  <c r="H19" i="11"/>
  <c r="H20" i="11"/>
  <c r="H23" i="11"/>
  <c r="H25" i="11"/>
  <c r="O16" i="8"/>
  <c r="E14" i="11"/>
  <c r="E23" i="11"/>
  <c r="E25" i="11"/>
  <c r="K16" i="8"/>
  <c r="D9" i="11"/>
  <c r="D14" i="11"/>
  <c r="D18" i="11"/>
  <c r="D19" i="11"/>
  <c r="D20" i="11"/>
  <c r="D23" i="11"/>
  <c r="D25" i="11"/>
  <c r="G16" i="8"/>
  <c r="C9" i="11"/>
  <c r="C14" i="11"/>
  <c r="C18" i="11"/>
  <c r="C19" i="11"/>
  <c r="C20" i="11"/>
  <c r="C23" i="11"/>
  <c r="C25" i="11"/>
  <c r="C16" i="8"/>
  <c r="F9" i="11"/>
  <c r="F11" i="11"/>
  <c r="F12" i="11"/>
  <c r="F14" i="11"/>
  <c r="F17" i="11"/>
  <c r="F18" i="11"/>
  <c r="F19" i="11"/>
  <c r="F20" i="11"/>
  <c r="F21" i="11"/>
  <c r="F23" i="11"/>
  <c r="F25" i="11"/>
  <c r="B29" i="8"/>
  <c r="V20" i="11"/>
  <c r="Q20" i="11"/>
  <c r="K20" i="11"/>
  <c r="L20" i="11"/>
  <c r="W20" i="11"/>
  <c r="G34" i="11"/>
  <c r="C32" i="11"/>
  <c r="C35" i="11"/>
  <c r="C30" i="11"/>
  <c r="C31" i="11"/>
  <c r="C33" i="11"/>
  <c r="C34" i="11"/>
  <c r="C36" i="11"/>
  <c r="C39" i="11"/>
  <c r="C42" i="11"/>
  <c r="C37" i="11"/>
  <c r="C38" i="11"/>
  <c r="C40" i="11"/>
  <c r="C41" i="11"/>
  <c r="C43" i="11"/>
  <c r="K9" i="11"/>
  <c r="L9" i="11"/>
  <c r="K11" i="11"/>
  <c r="L11" i="11"/>
  <c r="K12" i="11"/>
  <c r="L12" i="11"/>
  <c r="L14" i="11"/>
  <c r="K17" i="11"/>
  <c r="L17" i="11"/>
  <c r="K18" i="11"/>
  <c r="L18" i="11"/>
  <c r="K19" i="11"/>
  <c r="L19" i="11"/>
  <c r="K21" i="11"/>
  <c r="L21" i="11"/>
  <c r="L23" i="11"/>
  <c r="L25" i="11"/>
  <c r="V9" i="11"/>
  <c r="V11" i="11"/>
  <c r="V12" i="11"/>
  <c r="V14" i="11"/>
  <c r="V17" i="11"/>
  <c r="V18" i="11"/>
  <c r="V19" i="11"/>
  <c r="V21" i="11"/>
  <c r="V23" i="11"/>
  <c r="V25" i="11"/>
  <c r="Q9" i="11"/>
  <c r="Q11" i="11"/>
  <c r="Q12" i="11"/>
  <c r="Q14" i="11"/>
  <c r="Q17" i="11"/>
  <c r="Q18" i="11"/>
  <c r="Q19" i="11"/>
  <c r="Q21" i="11"/>
  <c r="Q23" i="11"/>
  <c r="Q25" i="11"/>
  <c r="W25" i="11"/>
  <c r="D27" i="11"/>
  <c r="W23" i="11"/>
  <c r="W21" i="11"/>
  <c r="W19" i="11"/>
  <c r="W18" i="11"/>
  <c r="W17" i="11"/>
  <c r="W14" i="11"/>
  <c r="W12" i="11"/>
  <c r="W11" i="11"/>
  <c r="W9" i="11"/>
  <c r="K14" i="11"/>
  <c r="K23" i="11"/>
  <c r="K25" i="11"/>
  <c r="C27" i="11"/>
  <c r="N2" i="11"/>
  <c r="E30" i="8"/>
  <c r="E31" i="8"/>
  <c r="AO12" i="8"/>
  <c r="AP12" i="8"/>
  <c r="AQ12" i="8"/>
  <c r="AR12" i="8"/>
  <c r="AS12" i="8"/>
  <c r="AT12" i="8"/>
  <c r="AU12" i="8"/>
  <c r="AV12" i="8"/>
  <c r="AW12" i="8"/>
  <c r="AX12" i="8"/>
  <c r="AY12" i="8"/>
  <c r="E32" i="8"/>
  <c r="AZ12" i="8"/>
  <c r="BA12" i="8"/>
  <c r="BB12" i="8"/>
  <c r="BC12" i="8"/>
  <c r="BD12" i="8"/>
  <c r="BE12" i="8"/>
  <c r="BF12" i="8"/>
  <c r="BG12" i="8"/>
  <c r="BH12" i="8"/>
  <c r="BI12" i="8"/>
  <c r="BJ12" i="8"/>
  <c r="BK12" i="8"/>
  <c r="E33" i="8"/>
  <c r="BL12" i="8"/>
  <c r="BM12" i="8"/>
  <c r="BN12" i="8"/>
  <c r="BO12" i="8"/>
  <c r="BP12" i="8"/>
  <c r="BQ12" i="8"/>
  <c r="BR12" i="8"/>
  <c r="BS12" i="8"/>
  <c r="BT12" i="8"/>
  <c r="BU12" i="8"/>
  <c r="BV12" i="8"/>
  <c r="BW12" i="8"/>
  <c r="E34" i="8"/>
  <c r="BX12" i="8"/>
  <c r="BY12" i="8"/>
  <c r="BZ12" i="8"/>
  <c r="CA12" i="8"/>
  <c r="CB12" i="8"/>
  <c r="CC12" i="8"/>
  <c r="CD12" i="8"/>
  <c r="CE12" i="8"/>
  <c r="CF12" i="8"/>
  <c r="CG12" i="8"/>
  <c r="CH12" i="8"/>
  <c r="CI12" i="8"/>
  <c r="E35" i="8"/>
  <c r="CJ12" i="8"/>
  <c r="CK12" i="8"/>
  <c r="CL12" i="8"/>
  <c r="CM12" i="8"/>
  <c r="CN12" i="8"/>
  <c r="CO12" i="8"/>
  <c r="CP12" i="8"/>
  <c r="CQ12" i="8"/>
  <c r="CR12" i="8"/>
  <c r="CS12" i="8"/>
  <c r="CT12" i="8"/>
  <c r="CU12" i="8"/>
  <c r="E36" i="8"/>
  <c r="CV12" i="8"/>
  <c r="CW12" i="8"/>
  <c r="CX12" i="8"/>
  <c r="CY12" i="8"/>
  <c r="CZ12" i="8"/>
  <c r="DA12" i="8"/>
  <c r="DB12" i="8"/>
  <c r="DC12" i="8"/>
  <c r="DD12" i="8"/>
  <c r="DE12" i="8"/>
  <c r="DF12" i="8"/>
  <c r="DG12" i="8"/>
  <c r="DH12" i="8"/>
  <c r="DI12" i="8"/>
  <c r="DJ12" i="8"/>
  <c r="DK12" i="8"/>
  <c r="DL12" i="8"/>
  <c r="DM12" i="8"/>
  <c r="DN12" i="8"/>
  <c r="DO12" i="8"/>
  <c r="DP12" i="8"/>
  <c r="DQ12" i="8"/>
  <c r="DR12" i="8"/>
  <c r="DS12" i="8"/>
  <c r="DT12" i="8"/>
  <c r="DU12" i="8"/>
  <c r="DV12" i="8"/>
  <c r="DW12" i="8"/>
  <c r="DX12" i="8"/>
  <c r="DY12" i="8"/>
  <c r="DZ12" i="8"/>
  <c r="EA12" i="8"/>
  <c r="EB12" i="8"/>
  <c r="EC12" i="8"/>
  <c r="ED12" i="8"/>
  <c r="EE12" i="8"/>
  <c r="EF12" i="8"/>
  <c r="EG12" i="8"/>
  <c r="EH12" i="8"/>
  <c r="EI12" i="8"/>
  <c r="EJ12" i="8"/>
  <c r="EK12" i="8"/>
  <c r="EL12" i="8"/>
  <c r="EM12" i="8"/>
  <c r="EN12" i="8"/>
  <c r="EO12" i="8"/>
  <c r="EP12" i="8"/>
  <c r="EQ12" i="8"/>
  <c r="ER12" i="8"/>
  <c r="ES12" i="8"/>
  <c r="ET12" i="8"/>
  <c r="EU12" i="8"/>
  <c r="EV12" i="8"/>
  <c r="EW12" i="8"/>
  <c r="EX12" i="8"/>
  <c r="EY12" i="8"/>
  <c r="EZ12" i="8"/>
  <c r="FA12" i="8"/>
  <c r="FB12" i="8"/>
  <c r="FC12" i="8"/>
  <c r="FD12" i="8"/>
  <c r="FE12" i="8"/>
  <c r="FF12" i="8"/>
  <c r="FG12" i="8"/>
  <c r="FH12" i="8"/>
  <c r="AC12" i="8"/>
  <c r="AD12" i="8"/>
  <c r="AE12" i="8"/>
  <c r="AF12" i="8"/>
  <c r="AG12" i="8"/>
  <c r="AH12" i="8"/>
  <c r="AI12" i="8"/>
  <c r="AJ12" i="8"/>
  <c r="AK12" i="8"/>
  <c r="AL12" i="8"/>
  <c r="AM12" i="8"/>
  <c r="AN12" i="8"/>
  <c r="AB12" i="8"/>
  <c r="C18" i="8"/>
  <c r="C10" i="8"/>
  <c r="C13" i="8"/>
  <c r="C20" i="8"/>
  <c r="C24" i="8"/>
  <c r="D11" i="8"/>
  <c r="D9" i="8"/>
  <c r="D13" i="8"/>
  <c r="D17" i="8"/>
  <c r="D18" i="8"/>
  <c r="D20" i="8"/>
  <c r="C23" i="8"/>
  <c r="B43" i="8"/>
  <c r="C25" i="8"/>
  <c r="D24" i="8"/>
  <c r="E11" i="8"/>
  <c r="E9" i="8"/>
  <c r="E13" i="8"/>
  <c r="E17" i="8"/>
  <c r="E18" i="8"/>
  <c r="E20" i="8"/>
  <c r="D23" i="8"/>
  <c r="D25" i="8"/>
  <c r="E24" i="8"/>
  <c r="F11" i="8"/>
  <c r="F9" i="8"/>
  <c r="F13" i="8"/>
  <c r="F17" i="8"/>
  <c r="F18" i="8"/>
  <c r="F20" i="8"/>
  <c r="E23" i="8"/>
  <c r="E25" i="8"/>
  <c r="F24" i="8"/>
  <c r="G11" i="8"/>
  <c r="G9" i="8"/>
  <c r="G13" i="8"/>
  <c r="G17" i="8"/>
  <c r="G18" i="8"/>
  <c r="G20" i="8"/>
  <c r="F23" i="8"/>
  <c r="F25" i="8"/>
  <c r="G24" i="8"/>
  <c r="H11" i="8"/>
  <c r="H9" i="8"/>
  <c r="H13" i="8"/>
  <c r="H17" i="8"/>
  <c r="H18" i="8"/>
  <c r="H20" i="8"/>
  <c r="G23" i="8"/>
  <c r="G25" i="8"/>
  <c r="H24" i="8"/>
  <c r="I11" i="8"/>
  <c r="I9" i="8"/>
  <c r="I13" i="8"/>
  <c r="I17" i="8"/>
  <c r="I18" i="8"/>
  <c r="I20" i="8"/>
  <c r="H23" i="8"/>
  <c r="H25" i="8"/>
  <c r="I24" i="8"/>
  <c r="J11" i="8"/>
  <c r="J9" i="8"/>
  <c r="J13" i="8"/>
  <c r="J17" i="8"/>
  <c r="J18" i="8"/>
  <c r="J20" i="8"/>
  <c r="I23" i="8"/>
  <c r="I25" i="8"/>
  <c r="J24" i="8"/>
  <c r="K11" i="8"/>
  <c r="K9" i="8"/>
  <c r="K13" i="8"/>
  <c r="K17" i="8"/>
  <c r="K18" i="8"/>
  <c r="K20" i="8"/>
  <c r="J23" i="8"/>
  <c r="J25" i="8"/>
  <c r="K24" i="8"/>
  <c r="L11" i="8"/>
  <c r="L9" i="8"/>
  <c r="L13" i="8"/>
  <c r="L17" i="8"/>
  <c r="L18" i="8"/>
  <c r="L20" i="8"/>
  <c r="K23" i="8"/>
  <c r="K25" i="8"/>
  <c r="L24" i="8"/>
  <c r="M11" i="8"/>
  <c r="M9" i="8"/>
  <c r="M13" i="8"/>
  <c r="M17" i="8"/>
  <c r="M18" i="8"/>
  <c r="M20" i="8"/>
  <c r="L23" i="8"/>
  <c r="L25" i="8"/>
  <c r="M24" i="8"/>
  <c r="N11" i="8"/>
  <c r="N9" i="8"/>
  <c r="N13" i="8"/>
  <c r="N17" i="8"/>
  <c r="N18" i="8"/>
  <c r="N20" i="8"/>
  <c r="M23" i="8"/>
  <c r="M25" i="8"/>
  <c r="N24" i="8"/>
  <c r="O11" i="8"/>
  <c r="O9" i="8"/>
  <c r="O10" i="8"/>
  <c r="O13" i="8"/>
  <c r="O17" i="8"/>
  <c r="O18" i="8"/>
  <c r="O20" i="8"/>
  <c r="N23" i="8"/>
  <c r="N25" i="8"/>
  <c r="O24" i="8"/>
  <c r="P11" i="8"/>
  <c r="P9" i="8"/>
  <c r="P13" i="8"/>
  <c r="P17" i="8"/>
  <c r="P18" i="8"/>
  <c r="P20" i="8"/>
  <c r="O23" i="8"/>
  <c r="O25" i="8"/>
  <c r="P24" i="8"/>
  <c r="Q11" i="8"/>
  <c r="Q9" i="8"/>
  <c r="Q13" i="8"/>
  <c r="Q17" i="8"/>
  <c r="Q18" i="8"/>
  <c r="Q20" i="8"/>
  <c r="P23" i="8"/>
  <c r="P25" i="8"/>
  <c r="Q24" i="8"/>
  <c r="R11" i="8"/>
  <c r="R9" i="8"/>
  <c r="R13" i="8"/>
  <c r="R17" i="8"/>
  <c r="R18" i="8"/>
  <c r="R20" i="8"/>
  <c r="Q23" i="8"/>
  <c r="Q25" i="8"/>
  <c r="R24" i="8"/>
  <c r="S11" i="8"/>
  <c r="S9" i="8"/>
  <c r="S13" i="8"/>
  <c r="S17" i="8"/>
  <c r="S18" i="8"/>
  <c r="S20" i="8"/>
  <c r="R23" i="8"/>
  <c r="R25" i="8"/>
  <c r="S24" i="8"/>
  <c r="T11" i="8"/>
  <c r="T9" i="8"/>
  <c r="T13" i="8"/>
  <c r="T17" i="8"/>
  <c r="T18" i="8"/>
  <c r="T20" i="8"/>
  <c r="S23" i="8"/>
  <c r="S25" i="8"/>
  <c r="T24" i="8"/>
  <c r="U11" i="8"/>
  <c r="U9" i="8"/>
  <c r="U13" i="8"/>
  <c r="U17" i="8"/>
  <c r="U18" i="8"/>
  <c r="U20" i="8"/>
  <c r="T23" i="8"/>
  <c r="T25" i="8"/>
  <c r="U24" i="8"/>
  <c r="V11" i="8"/>
  <c r="V9" i="8"/>
  <c r="V13" i="8"/>
  <c r="V17" i="8"/>
  <c r="V18" i="8"/>
  <c r="V20" i="8"/>
  <c r="U23" i="8"/>
  <c r="U25" i="8"/>
  <c r="V24" i="8"/>
  <c r="W11" i="8"/>
  <c r="W9" i="8"/>
  <c r="W13" i="8"/>
  <c r="W17" i="8"/>
  <c r="W18" i="8"/>
  <c r="W20" i="8"/>
  <c r="V23" i="8"/>
  <c r="V25" i="8"/>
  <c r="W24" i="8"/>
  <c r="X11" i="8"/>
  <c r="X9" i="8"/>
  <c r="X13" i="8"/>
  <c r="X17" i="8"/>
  <c r="X18" i="8"/>
  <c r="X20" i="8"/>
  <c r="W23" i="8"/>
  <c r="W25" i="8"/>
  <c r="X24" i="8"/>
  <c r="Y11" i="8"/>
  <c r="Y9" i="8"/>
  <c r="Y13" i="8"/>
  <c r="Y17" i="8"/>
  <c r="Y18" i="8"/>
  <c r="Y20" i="8"/>
  <c r="X23" i="8"/>
  <c r="X25" i="8"/>
  <c r="Y24" i="8"/>
  <c r="Z11" i="8"/>
  <c r="Z9" i="8"/>
  <c r="Z13" i="8"/>
  <c r="Z17" i="8"/>
  <c r="Z18" i="8"/>
  <c r="Z20" i="8"/>
  <c r="Y23" i="8"/>
  <c r="Y25" i="8"/>
  <c r="Z24" i="8"/>
  <c r="AA11" i="8"/>
  <c r="AA9" i="8"/>
  <c r="AA13" i="8"/>
  <c r="L2" i="8"/>
  <c r="AA17" i="8"/>
  <c r="AA18" i="8"/>
  <c r="AA20" i="8"/>
  <c r="Z23" i="8"/>
  <c r="Z25" i="8"/>
  <c r="AA24" i="8"/>
  <c r="AB11" i="8"/>
  <c r="AB13" i="8"/>
  <c r="AG16" i="8"/>
  <c r="AS16" i="8"/>
  <c r="AB17" i="8"/>
  <c r="AB18" i="8"/>
  <c r="AB20" i="8"/>
  <c r="AA23" i="8"/>
  <c r="AA25" i="8"/>
  <c r="AB24" i="8"/>
  <c r="AC11" i="8"/>
  <c r="AC13" i="8"/>
  <c r="AC17" i="8"/>
  <c r="AC18" i="8"/>
  <c r="AC20" i="8"/>
  <c r="AB23" i="8"/>
  <c r="AB25" i="8"/>
  <c r="AC24" i="8"/>
  <c r="AD11" i="8"/>
  <c r="AD13" i="8"/>
  <c r="AD17" i="8"/>
  <c r="AD18" i="8"/>
  <c r="AD20" i="8"/>
  <c r="AC23" i="8"/>
  <c r="AC25" i="8"/>
  <c r="AD24" i="8"/>
  <c r="AE11" i="8"/>
  <c r="AE13" i="8"/>
  <c r="AE17" i="8"/>
  <c r="AE18" i="8"/>
  <c r="AE20" i="8"/>
  <c r="AD23" i="8"/>
  <c r="AD25" i="8"/>
  <c r="AE24" i="8"/>
  <c r="AF11" i="8"/>
  <c r="AF13" i="8"/>
  <c r="AF17" i="8"/>
  <c r="AF18" i="8"/>
  <c r="AF20" i="8"/>
  <c r="AE23" i="8"/>
  <c r="AE25" i="8"/>
  <c r="AF24" i="8"/>
  <c r="AG11" i="8"/>
  <c r="AG13" i="8"/>
  <c r="AG17" i="8"/>
  <c r="AG18" i="8"/>
  <c r="AG20" i="8"/>
  <c r="AF23" i="8"/>
  <c r="AF25" i="8"/>
  <c r="AG24" i="8"/>
  <c r="AH11" i="8"/>
  <c r="AH13" i="8"/>
  <c r="AH17" i="8"/>
  <c r="AH18" i="8"/>
  <c r="AH20" i="8"/>
  <c r="AG23" i="8"/>
  <c r="AG25" i="8"/>
  <c r="AH24" i="8"/>
  <c r="AI11" i="8"/>
  <c r="AI13" i="8"/>
  <c r="AI17" i="8"/>
  <c r="AI18" i="8"/>
  <c r="AI20" i="8"/>
  <c r="AH23" i="8"/>
  <c r="AH25" i="8"/>
  <c r="AI24" i="8"/>
  <c r="AJ11" i="8"/>
  <c r="AJ13" i="8"/>
  <c r="AJ17" i="8"/>
  <c r="AJ18" i="8"/>
  <c r="AJ20" i="8"/>
  <c r="AI23" i="8"/>
  <c r="AI25" i="8"/>
  <c r="AJ24" i="8"/>
  <c r="AK11" i="8"/>
  <c r="AK13" i="8"/>
  <c r="AK17" i="8"/>
  <c r="AK18" i="8"/>
  <c r="AK20" i="8"/>
  <c r="AJ23" i="8"/>
  <c r="AJ25" i="8"/>
  <c r="AK24" i="8"/>
  <c r="AL11" i="8"/>
  <c r="AL13" i="8"/>
  <c r="AL17" i="8"/>
  <c r="AL18" i="8"/>
  <c r="AL20" i="8"/>
  <c r="AK23" i="8"/>
  <c r="AK25" i="8"/>
  <c r="AL24" i="8"/>
  <c r="AM11" i="8"/>
  <c r="AM13" i="8"/>
  <c r="AM17" i="8"/>
  <c r="AM18" i="8"/>
  <c r="AM20" i="8"/>
  <c r="AL23" i="8"/>
  <c r="AL25" i="8"/>
  <c r="AM24" i="8"/>
  <c r="AN11" i="8"/>
  <c r="AN13" i="8"/>
  <c r="AN17" i="8"/>
  <c r="AN18" i="8"/>
  <c r="AN20" i="8"/>
  <c r="AM23" i="8"/>
  <c r="AM25" i="8"/>
  <c r="AN24" i="8"/>
  <c r="AO11" i="8"/>
  <c r="AO13" i="8"/>
  <c r="AO17" i="8"/>
  <c r="AO18" i="8"/>
  <c r="AO20" i="8"/>
  <c r="AN23" i="8"/>
  <c r="AN25" i="8"/>
  <c r="AO24" i="8"/>
  <c r="AP11" i="8"/>
  <c r="AP13" i="8"/>
  <c r="AP17" i="8"/>
  <c r="AP18" i="8"/>
  <c r="AP20" i="8"/>
  <c r="AO23" i="8"/>
  <c r="AO25" i="8"/>
  <c r="AP24" i="8"/>
  <c r="AQ11" i="8"/>
  <c r="AQ13" i="8"/>
  <c r="AQ17" i="8"/>
  <c r="AQ18" i="8"/>
  <c r="AQ20" i="8"/>
  <c r="AP23" i="8"/>
  <c r="AP25" i="8"/>
  <c r="AQ24" i="8"/>
  <c r="AR11" i="8"/>
  <c r="AR13" i="8"/>
  <c r="AR17" i="8"/>
  <c r="AR18" i="8"/>
  <c r="AR20" i="8"/>
  <c r="AQ23" i="8"/>
  <c r="AQ25" i="8"/>
  <c r="AR24" i="8"/>
  <c r="AS11" i="8"/>
  <c r="AS13" i="8"/>
  <c r="AS17" i="8"/>
  <c r="AS18" i="8"/>
  <c r="AS20" i="8"/>
  <c r="AR23" i="8"/>
  <c r="AR25" i="8"/>
  <c r="AS24" i="8"/>
  <c r="AT11" i="8"/>
  <c r="AT13" i="8"/>
  <c r="AT17" i="8"/>
  <c r="AT18" i="8"/>
  <c r="AT20" i="8"/>
  <c r="AS23" i="8"/>
  <c r="AS25" i="8"/>
  <c r="AT24" i="8"/>
  <c r="AU11" i="8"/>
  <c r="AU13" i="8"/>
  <c r="AU17" i="8"/>
  <c r="AU18" i="8"/>
  <c r="AU20" i="8"/>
  <c r="AT23" i="8"/>
  <c r="AT25" i="8"/>
  <c r="AU24" i="8"/>
  <c r="AV11" i="8"/>
  <c r="AV13" i="8"/>
  <c r="AV17" i="8"/>
  <c r="AV18" i="8"/>
  <c r="AV20" i="8"/>
  <c r="AU23" i="8"/>
  <c r="AU25" i="8"/>
  <c r="AV24" i="8"/>
  <c r="AW11" i="8"/>
  <c r="AW13" i="8"/>
  <c r="AW17" i="8"/>
  <c r="AW18" i="8"/>
  <c r="AW20" i="8"/>
  <c r="AV23" i="8"/>
  <c r="AV25" i="8"/>
  <c r="AW24" i="8"/>
  <c r="AX11" i="8"/>
  <c r="AX13" i="8"/>
  <c r="AX17" i="8"/>
  <c r="AX18" i="8"/>
  <c r="AX20" i="8"/>
  <c r="AW23" i="8"/>
  <c r="AW25" i="8"/>
  <c r="AX24" i="8"/>
  <c r="AY11" i="8"/>
  <c r="AY13" i="8"/>
  <c r="AX23" i="8"/>
  <c r="AX25" i="8"/>
  <c r="AY17" i="8"/>
  <c r="AY18" i="8"/>
  <c r="AY20" i="8"/>
  <c r="AY23" i="8"/>
  <c r="AY24" i="8"/>
  <c r="AY25" i="8"/>
  <c r="AZ11" i="8"/>
  <c r="AZ13" i="8"/>
  <c r="AZ17" i="8"/>
  <c r="AZ18" i="8"/>
  <c r="AZ20" i="8"/>
  <c r="AZ23" i="8"/>
  <c r="AZ24" i="8"/>
  <c r="AZ25" i="8"/>
  <c r="BA11" i="8"/>
  <c r="BA13" i="8"/>
  <c r="BA17" i="8"/>
  <c r="BA18" i="8"/>
  <c r="BA20" i="8"/>
  <c r="BA23" i="8"/>
  <c r="BA24" i="8"/>
  <c r="BA25" i="8"/>
  <c r="BB11" i="8"/>
  <c r="BB13" i="8"/>
  <c r="BB17" i="8"/>
  <c r="BB18" i="8"/>
  <c r="BB20" i="8"/>
  <c r="BB23" i="8"/>
  <c r="BB24" i="8"/>
  <c r="BB25" i="8"/>
  <c r="BC11" i="8"/>
  <c r="BC13" i="8"/>
  <c r="BC17" i="8"/>
  <c r="BC18" i="8"/>
  <c r="BC20" i="8"/>
  <c r="BC23" i="8"/>
  <c r="BC24" i="8"/>
  <c r="BC25" i="8"/>
  <c r="BD11" i="8"/>
  <c r="BD13" i="8"/>
  <c r="BD17" i="8"/>
  <c r="BD18" i="8"/>
  <c r="BD20" i="8"/>
  <c r="BD23" i="8"/>
  <c r="BD24" i="8"/>
  <c r="BD25" i="8"/>
  <c r="BE11" i="8"/>
  <c r="BE13" i="8"/>
  <c r="BE17" i="8"/>
  <c r="BE18" i="8"/>
  <c r="BE20" i="8"/>
  <c r="BE23" i="8"/>
  <c r="BE24" i="8"/>
  <c r="BE25" i="8"/>
  <c r="BF11" i="8"/>
  <c r="BF13" i="8"/>
  <c r="BF17" i="8"/>
  <c r="BF18" i="8"/>
  <c r="BF20" i="8"/>
  <c r="BF23" i="8"/>
  <c r="BF24" i="8"/>
  <c r="BF25" i="8"/>
  <c r="BG11" i="8"/>
  <c r="BG13" i="8"/>
  <c r="BG17" i="8"/>
  <c r="BG18" i="8"/>
  <c r="BG20" i="8"/>
  <c r="BG23" i="8"/>
  <c r="BG24" i="8"/>
  <c r="BG25" i="8"/>
  <c r="BH11" i="8"/>
  <c r="BH13" i="8"/>
  <c r="BH17" i="8"/>
  <c r="BH18" i="8"/>
  <c r="BH20" i="8"/>
  <c r="BH23" i="8"/>
  <c r="BH24" i="8"/>
  <c r="BH25" i="8"/>
  <c r="BI11" i="8"/>
  <c r="BI13" i="8"/>
  <c r="BI17" i="8"/>
  <c r="BI18" i="8"/>
  <c r="BI20" i="8"/>
  <c r="BI23" i="8"/>
  <c r="BI24" i="8"/>
  <c r="BI25" i="8"/>
  <c r="BJ11" i="8"/>
  <c r="BJ13" i="8"/>
  <c r="BJ17" i="8"/>
  <c r="BJ18" i="8"/>
  <c r="BJ20" i="8"/>
  <c r="BJ23" i="8"/>
  <c r="BJ24" i="8"/>
  <c r="BJ25" i="8"/>
  <c r="BK11" i="8"/>
  <c r="BK13" i="8"/>
  <c r="BK17" i="8"/>
  <c r="BK18" i="8"/>
  <c r="BK20" i="8"/>
  <c r="BK23" i="8"/>
  <c r="BK24" i="8"/>
  <c r="BK25" i="8"/>
  <c r="BL11" i="8"/>
  <c r="BL13" i="8"/>
  <c r="BL17" i="8"/>
  <c r="BL18" i="8"/>
  <c r="BL20" i="8"/>
  <c r="BL23" i="8"/>
  <c r="BL24" i="8"/>
  <c r="BL25" i="8"/>
  <c r="BM11" i="8"/>
  <c r="BM13" i="8"/>
  <c r="BM17" i="8"/>
  <c r="BM18" i="8"/>
  <c r="BM20" i="8"/>
  <c r="BM23" i="8"/>
  <c r="BM24" i="8"/>
  <c r="BM25" i="8"/>
  <c r="BN11" i="8"/>
  <c r="BN13" i="8"/>
  <c r="BN17" i="8"/>
  <c r="BN18" i="8"/>
  <c r="BN20" i="8"/>
  <c r="BN23" i="8"/>
  <c r="BN24" i="8"/>
  <c r="BN25" i="8"/>
  <c r="BO11" i="8"/>
  <c r="BO13" i="8"/>
  <c r="BO17" i="8"/>
  <c r="BO18" i="8"/>
  <c r="BO20" i="8"/>
  <c r="BO23" i="8"/>
  <c r="BO24" i="8"/>
  <c r="BO25" i="8"/>
  <c r="BP11" i="8"/>
  <c r="BP13" i="8"/>
  <c r="BP17" i="8"/>
  <c r="BP18" i="8"/>
  <c r="BP20" i="8"/>
  <c r="BP23" i="8"/>
  <c r="BP24" i="8"/>
  <c r="BP25" i="8"/>
  <c r="BQ11" i="8"/>
  <c r="BQ13" i="8"/>
  <c r="BQ17" i="8"/>
  <c r="BQ18" i="8"/>
  <c r="BQ20" i="8"/>
  <c r="BQ23" i="8"/>
  <c r="BQ24" i="8"/>
  <c r="BQ25" i="8"/>
  <c r="BR11" i="8"/>
  <c r="BR13" i="8"/>
  <c r="BR17" i="8"/>
  <c r="BR18" i="8"/>
  <c r="BR20" i="8"/>
  <c r="BR23" i="8"/>
  <c r="BR24" i="8"/>
  <c r="BR25" i="8"/>
  <c r="BS11" i="8"/>
  <c r="BS13" i="8"/>
  <c r="BS17" i="8"/>
  <c r="BS18" i="8"/>
  <c r="BS20" i="8"/>
  <c r="BS23" i="8"/>
  <c r="BS24" i="8"/>
  <c r="BS25" i="8"/>
  <c r="BT11" i="8"/>
  <c r="BT13" i="8"/>
  <c r="BT17" i="8"/>
  <c r="BT18" i="8"/>
  <c r="BT20" i="8"/>
  <c r="BT23" i="8"/>
  <c r="BT24" i="8"/>
  <c r="BT25" i="8"/>
  <c r="BU11" i="8"/>
  <c r="BU13" i="8"/>
  <c r="BU17" i="8"/>
  <c r="BU18" i="8"/>
  <c r="BU20" i="8"/>
  <c r="BU23" i="8"/>
  <c r="BU24" i="8"/>
  <c r="BU25" i="8"/>
  <c r="BV11" i="8"/>
  <c r="BV13" i="8"/>
  <c r="BV17" i="8"/>
  <c r="BV18" i="8"/>
  <c r="BV20" i="8"/>
  <c r="BV23" i="8"/>
  <c r="BV24" i="8"/>
  <c r="BV25" i="8"/>
  <c r="BW11" i="8"/>
  <c r="BW13" i="8"/>
  <c r="BW17" i="8"/>
  <c r="BW18" i="8"/>
  <c r="BW20" i="8"/>
  <c r="BW23" i="8"/>
  <c r="BW24" i="8"/>
  <c r="BW25" i="8"/>
  <c r="BX11" i="8"/>
  <c r="BX13" i="8"/>
  <c r="BX17" i="8"/>
  <c r="BX18" i="8"/>
  <c r="BX20" i="8"/>
  <c r="BX23" i="8"/>
  <c r="BX24" i="8"/>
  <c r="BX25" i="8"/>
  <c r="BY11" i="8"/>
  <c r="BY13" i="8"/>
  <c r="BY17" i="8"/>
  <c r="BY18" i="8"/>
  <c r="BY20" i="8"/>
  <c r="BY23" i="8"/>
  <c r="BY24" i="8"/>
  <c r="BY25" i="8"/>
  <c r="BZ11" i="8"/>
  <c r="BZ13" i="8"/>
  <c r="BZ17" i="8"/>
  <c r="BZ18" i="8"/>
  <c r="BZ20" i="8"/>
  <c r="BZ23" i="8"/>
  <c r="BZ24" i="8"/>
  <c r="BZ25" i="8"/>
  <c r="CA11" i="8"/>
  <c r="CA13" i="8"/>
  <c r="CA17" i="8"/>
  <c r="CA18" i="8"/>
  <c r="CA20" i="8"/>
  <c r="CA23" i="8"/>
  <c r="CA24" i="8"/>
  <c r="CA25" i="8"/>
  <c r="CB11" i="8"/>
  <c r="CB13" i="8"/>
  <c r="CB17" i="8"/>
  <c r="CB18" i="8"/>
  <c r="CB20" i="8"/>
  <c r="CB23" i="8"/>
  <c r="CB24" i="8"/>
  <c r="CB25" i="8"/>
  <c r="CC11" i="8"/>
  <c r="CC13" i="8"/>
  <c r="CC17" i="8"/>
  <c r="CC18" i="8"/>
  <c r="CC20" i="8"/>
  <c r="CC23" i="8"/>
  <c r="CC24" i="8"/>
  <c r="CC25" i="8"/>
  <c r="CD11" i="8"/>
  <c r="CD13" i="8"/>
  <c r="CD17" i="8"/>
  <c r="CD18" i="8"/>
  <c r="CD20" i="8"/>
  <c r="CD23" i="8"/>
  <c r="CD24" i="8"/>
  <c r="CD25" i="8"/>
  <c r="CE11" i="8"/>
  <c r="CE13" i="8"/>
  <c r="CE17" i="8"/>
  <c r="CE18" i="8"/>
  <c r="CE20" i="8"/>
  <c r="CE23" i="8"/>
  <c r="CE24" i="8"/>
  <c r="CE25" i="8"/>
  <c r="CF11" i="8"/>
  <c r="CF13" i="8"/>
  <c r="CF17" i="8"/>
  <c r="CF18" i="8"/>
  <c r="CF20" i="8"/>
  <c r="CF23" i="8"/>
  <c r="CF24" i="8"/>
  <c r="CF25" i="8"/>
  <c r="CG11" i="8"/>
  <c r="CG13" i="8"/>
  <c r="CG17" i="8"/>
  <c r="CG18" i="8"/>
  <c r="CG20" i="8"/>
  <c r="CG23" i="8"/>
  <c r="CG24" i="8"/>
  <c r="CG25" i="8"/>
  <c r="CH11" i="8"/>
  <c r="CH13" i="8"/>
  <c r="CH17" i="8"/>
  <c r="CH18" i="8"/>
  <c r="CH20" i="8"/>
  <c r="CH23" i="8"/>
  <c r="CH24" i="8"/>
  <c r="CH25" i="8"/>
  <c r="CI11" i="8"/>
  <c r="CI13" i="8"/>
  <c r="CI17" i="8"/>
  <c r="CI18" i="8"/>
  <c r="CI20" i="8"/>
  <c r="CI23" i="8"/>
  <c r="CI24" i="8"/>
  <c r="CI25" i="8"/>
  <c r="CJ11" i="8"/>
  <c r="CJ13" i="8"/>
  <c r="CJ17" i="8"/>
  <c r="CJ18" i="8"/>
  <c r="CJ20" i="8"/>
  <c r="CJ23" i="8"/>
  <c r="CJ24" i="8"/>
  <c r="CJ25" i="8"/>
  <c r="CK11" i="8"/>
  <c r="CK13" i="8"/>
  <c r="CK17" i="8"/>
  <c r="CK18" i="8"/>
  <c r="CK20" i="8"/>
  <c r="CK23" i="8"/>
  <c r="CK24" i="8"/>
  <c r="CK25" i="8"/>
  <c r="CL11" i="8"/>
  <c r="CL13" i="8"/>
  <c r="CL17" i="8"/>
  <c r="CL18" i="8"/>
  <c r="CL20" i="8"/>
  <c r="CL23" i="8"/>
  <c r="CL24" i="8"/>
  <c r="CL25" i="8"/>
  <c r="CM11" i="8"/>
  <c r="CM13" i="8"/>
  <c r="CM17" i="8"/>
  <c r="CM18" i="8"/>
  <c r="CM20" i="8"/>
  <c r="CM23" i="8"/>
  <c r="CM24" i="8"/>
  <c r="CM25" i="8"/>
  <c r="CN11" i="8"/>
  <c r="CN13" i="8"/>
  <c r="CN17" i="8"/>
  <c r="CN18" i="8"/>
  <c r="CN20" i="8"/>
  <c r="CN23" i="8"/>
  <c r="CN24" i="8"/>
  <c r="CN25" i="8"/>
  <c r="CO11" i="8"/>
  <c r="CO13" i="8"/>
  <c r="CO17" i="8"/>
  <c r="CO18" i="8"/>
  <c r="CO20" i="8"/>
  <c r="CO23" i="8"/>
  <c r="CO24" i="8"/>
  <c r="CO25" i="8"/>
  <c r="CP11" i="8"/>
  <c r="CP13" i="8"/>
  <c r="CP17" i="8"/>
  <c r="CP18" i="8"/>
  <c r="CP20" i="8"/>
  <c r="CP23" i="8"/>
  <c r="CP24" i="8"/>
  <c r="CP25" i="8"/>
  <c r="CQ11" i="8"/>
  <c r="CQ13" i="8"/>
  <c r="CQ17" i="8"/>
  <c r="CQ18" i="8"/>
  <c r="CQ20" i="8"/>
  <c r="CQ23" i="8"/>
  <c r="CQ24" i="8"/>
  <c r="CQ25" i="8"/>
  <c r="CR11" i="8"/>
  <c r="CR13" i="8"/>
  <c r="CR17" i="8"/>
  <c r="CR18" i="8"/>
  <c r="CR20" i="8"/>
  <c r="CR23" i="8"/>
  <c r="CR24" i="8"/>
  <c r="CR25" i="8"/>
  <c r="CS11" i="8"/>
  <c r="CS13" i="8"/>
  <c r="CS17" i="8"/>
  <c r="CS18" i="8"/>
  <c r="CS20" i="8"/>
  <c r="CS23" i="8"/>
  <c r="CS24" i="8"/>
  <c r="CS25" i="8"/>
  <c r="CT11" i="8"/>
  <c r="CT13" i="8"/>
  <c r="CT17" i="8"/>
  <c r="CT18" i="8"/>
  <c r="CT20" i="8"/>
  <c r="CT23" i="8"/>
  <c r="CT24" i="8"/>
  <c r="CT25" i="8"/>
  <c r="CU11" i="8"/>
  <c r="CU13" i="8"/>
  <c r="CU17" i="8"/>
  <c r="CU18" i="8"/>
  <c r="CU20" i="8"/>
  <c r="CU23" i="8"/>
  <c r="CU24" i="8"/>
  <c r="CU25" i="8"/>
  <c r="CV11" i="8"/>
  <c r="CV13" i="8"/>
  <c r="CV17" i="8"/>
  <c r="CV18" i="8"/>
  <c r="CV20" i="8"/>
  <c r="CV23" i="8"/>
  <c r="CV24" i="8"/>
  <c r="CV25" i="8"/>
  <c r="CW11" i="8"/>
  <c r="CW13" i="8"/>
  <c r="CW17" i="8"/>
  <c r="CW18" i="8"/>
  <c r="CW20" i="8"/>
  <c r="CW23" i="8"/>
  <c r="CW24" i="8"/>
  <c r="CW25" i="8"/>
  <c r="CX11" i="8"/>
  <c r="CX13" i="8"/>
  <c r="CX17" i="8"/>
  <c r="CX18" i="8"/>
  <c r="CX20" i="8"/>
  <c r="CX23" i="8"/>
  <c r="CX24" i="8"/>
  <c r="CX25" i="8"/>
  <c r="CY11" i="8"/>
  <c r="CY13" i="8"/>
  <c r="CY17" i="8"/>
  <c r="CY18" i="8"/>
  <c r="CY20" i="8"/>
  <c r="CY23" i="8"/>
  <c r="CY24" i="8"/>
  <c r="CY25" i="8"/>
  <c r="CZ11" i="8"/>
  <c r="CZ13" i="8"/>
  <c r="CZ17" i="8"/>
  <c r="CZ18" i="8"/>
  <c r="CZ20" i="8"/>
  <c r="CZ23" i="8"/>
  <c r="CZ24" i="8"/>
  <c r="CZ25" i="8"/>
  <c r="DA11" i="8"/>
  <c r="DA13" i="8"/>
  <c r="DA17" i="8"/>
  <c r="DA18" i="8"/>
  <c r="DA20" i="8"/>
  <c r="DA23" i="8"/>
  <c r="DA24" i="8"/>
  <c r="DA25" i="8"/>
  <c r="DB11" i="8"/>
  <c r="DB13" i="8"/>
  <c r="DB17" i="8"/>
  <c r="DB18" i="8"/>
  <c r="DB20" i="8"/>
  <c r="DB23" i="8"/>
  <c r="DB24" i="8"/>
  <c r="DB25" i="8"/>
  <c r="DC11" i="8"/>
  <c r="DC13" i="8"/>
  <c r="DC17" i="8"/>
  <c r="DC18" i="8"/>
  <c r="DC20" i="8"/>
  <c r="DC23" i="8"/>
  <c r="DC24" i="8"/>
  <c r="DC25" i="8"/>
  <c r="DD11" i="8"/>
  <c r="DD13" i="8"/>
  <c r="DD17" i="8"/>
  <c r="DD18" i="8"/>
  <c r="DD20" i="8"/>
  <c r="DD23" i="8"/>
  <c r="DD24" i="8"/>
  <c r="DD25" i="8"/>
  <c r="DE11" i="8"/>
  <c r="DE13" i="8"/>
  <c r="DE17" i="8"/>
  <c r="DE18" i="8"/>
  <c r="DE20" i="8"/>
  <c r="DE23" i="8"/>
  <c r="DE24" i="8"/>
  <c r="DE25" i="8"/>
  <c r="DF11" i="8"/>
  <c r="DF13" i="8"/>
  <c r="DF17" i="8"/>
  <c r="DF18" i="8"/>
  <c r="DF20" i="8"/>
  <c r="DF23" i="8"/>
  <c r="DF24" i="8"/>
  <c r="DF25" i="8"/>
  <c r="DG11" i="8"/>
  <c r="DG13" i="8"/>
  <c r="DG17" i="8"/>
  <c r="DG18" i="8"/>
  <c r="DG20" i="8"/>
  <c r="DG23" i="8"/>
  <c r="DG24" i="8"/>
  <c r="DG25" i="8"/>
  <c r="DH11" i="8"/>
  <c r="DH13" i="8"/>
  <c r="DH17" i="8"/>
  <c r="DH18" i="8"/>
  <c r="DH20" i="8"/>
  <c r="DH23" i="8"/>
  <c r="DH24" i="8"/>
  <c r="DH25" i="8"/>
  <c r="DI11" i="8"/>
  <c r="DI13" i="8"/>
  <c r="DI17" i="8"/>
  <c r="DI18" i="8"/>
  <c r="DI20" i="8"/>
  <c r="DI23" i="8"/>
  <c r="DI24" i="8"/>
  <c r="DI25" i="8"/>
  <c r="DJ11" i="8"/>
  <c r="DJ13" i="8"/>
  <c r="DJ17" i="8"/>
  <c r="DJ18" i="8"/>
  <c r="DJ20" i="8"/>
  <c r="DJ23" i="8"/>
  <c r="DJ24" i="8"/>
  <c r="DJ25" i="8"/>
  <c r="DK11" i="8"/>
  <c r="DK13" i="8"/>
  <c r="DK17" i="8"/>
  <c r="DK18" i="8"/>
  <c r="DK20" i="8"/>
  <c r="DK23" i="8"/>
  <c r="DK24" i="8"/>
  <c r="DK25" i="8"/>
  <c r="DL11" i="8"/>
  <c r="DL13" i="8"/>
  <c r="DL17" i="8"/>
  <c r="DL18" i="8"/>
  <c r="DL20" i="8"/>
  <c r="DL23" i="8"/>
  <c r="DL24" i="8"/>
  <c r="DL25" i="8"/>
  <c r="DM11" i="8"/>
  <c r="DM13" i="8"/>
  <c r="DM17" i="8"/>
  <c r="DM18" i="8"/>
  <c r="DM20" i="8"/>
  <c r="DM23" i="8"/>
  <c r="DM24" i="8"/>
  <c r="DM25" i="8"/>
  <c r="DN11" i="8"/>
  <c r="DN13" i="8"/>
  <c r="DN17" i="8"/>
  <c r="DN18" i="8"/>
  <c r="DN20" i="8"/>
  <c r="DN23" i="8"/>
  <c r="DN24" i="8"/>
  <c r="DN25" i="8"/>
  <c r="DO11" i="8"/>
  <c r="DO13" i="8"/>
  <c r="DO17" i="8"/>
  <c r="DO18" i="8"/>
  <c r="DO20" i="8"/>
  <c r="DO23" i="8"/>
  <c r="DO24" i="8"/>
  <c r="DO25" i="8"/>
  <c r="DP11" i="8"/>
  <c r="DP13" i="8"/>
  <c r="DP17" i="8"/>
  <c r="DP18" i="8"/>
  <c r="DP20" i="8"/>
  <c r="DP23" i="8"/>
  <c r="DP24" i="8"/>
  <c r="DP25" i="8"/>
  <c r="DQ11" i="8"/>
  <c r="DQ13" i="8"/>
  <c r="DQ17" i="8"/>
  <c r="DQ18" i="8"/>
  <c r="DQ20" i="8"/>
  <c r="DQ23" i="8"/>
  <c r="DQ24" i="8"/>
  <c r="DQ25" i="8"/>
  <c r="DR11" i="8"/>
  <c r="DR13" i="8"/>
  <c r="DR17" i="8"/>
  <c r="DR18" i="8"/>
  <c r="DR20" i="8"/>
  <c r="DR23" i="8"/>
  <c r="DR24" i="8"/>
  <c r="DR25" i="8"/>
  <c r="DS11" i="8"/>
  <c r="DS13" i="8"/>
  <c r="DS17" i="8"/>
  <c r="DS18" i="8"/>
  <c r="DS20" i="8"/>
  <c r="DS23" i="8"/>
  <c r="DS24" i="8"/>
  <c r="DS25" i="8"/>
  <c r="DT11" i="8"/>
  <c r="DT13" i="8"/>
  <c r="DT17" i="8"/>
  <c r="DT18" i="8"/>
  <c r="DT20" i="8"/>
  <c r="DT23" i="8"/>
  <c r="DT24" i="8"/>
  <c r="DT25" i="8"/>
  <c r="DU11" i="8"/>
  <c r="DU13" i="8"/>
  <c r="DU17" i="8"/>
  <c r="DU18" i="8"/>
  <c r="DU20" i="8"/>
  <c r="DU23" i="8"/>
  <c r="DU24" i="8"/>
  <c r="DU25" i="8"/>
  <c r="DV11" i="8"/>
  <c r="DV13" i="8"/>
  <c r="DV17" i="8"/>
  <c r="DV18" i="8"/>
  <c r="DV20" i="8"/>
  <c r="DV23" i="8"/>
  <c r="DV24" i="8"/>
  <c r="DV25" i="8"/>
  <c r="DW11" i="8"/>
  <c r="DW13" i="8"/>
  <c r="DW17" i="8"/>
  <c r="DW18" i="8"/>
  <c r="DW20" i="8"/>
  <c r="DW23" i="8"/>
  <c r="DW24" i="8"/>
  <c r="DW25" i="8"/>
  <c r="DX11" i="8"/>
  <c r="DX13" i="8"/>
  <c r="DX17" i="8"/>
  <c r="DX18" i="8"/>
  <c r="DX20" i="8"/>
  <c r="DX23" i="8"/>
  <c r="DX24" i="8"/>
  <c r="DX25" i="8"/>
  <c r="DY11" i="8"/>
  <c r="DY13" i="8"/>
  <c r="DY17" i="8"/>
  <c r="DY18" i="8"/>
  <c r="DY20" i="8"/>
  <c r="DY23" i="8"/>
  <c r="DY24" i="8"/>
  <c r="DY25" i="8"/>
  <c r="DZ11" i="8"/>
  <c r="DZ13" i="8"/>
  <c r="DZ17" i="8"/>
  <c r="DZ18" i="8"/>
  <c r="DZ20" i="8"/>
  <c r="DZ23" i="8"/>
  <c r="DZ24" i="8"/>
  <c r="DZ25" i="8"/>
  <c r="EA11" i="8"/>
  <c r="EA13" i="8"/>
  <c r="EA17" i="8"/>
  <c r="EA18" i="8"/>
  <c r="EA20" i="8"/>
  <c r="EA23" i="8"/>
  <c r="EA24" i="8"/>
  <c r="EA25" i="8"/>
  <c r="EB11" i="8"/>
  <c r="EB13" i="8"/>
  <c r="EB17" i="8"/>
  <c r="EB18" i="8"/>
  <c r="EB20" i="8"/>
  <c r="EB23" i="8"/>
  <c r="EB24" i="8"/>
  <c r="EB25" i="8"/>
  <c r="EC11" i="8"/>
  <c r="EC13" i="8"/>
  <c r="EC17" i="8"/>
  <c r="EC18" i="8"/>
  <c r="EC20" i="8"/>
  <c r="EC23" i="8"/>
  <c r="EC24" i="8"/>
  <c r="EC25" i="8"/>
  <c r="ED11" i="8"/>
  <c r="ED13" i="8"/>
  <c r="ED17" i="8"/>
  <c r="ED18" i="8"/>
  <c r="ED20" i="8"/>
  <c r="ED23" i="8"/>
  <c r="ED24" i="8"/>
  <c r="ED25" i="8"/>
  <c r="EE11" i="8"/>
  <c r="EE13" i="8"/>
  <c r="EE17" i="8"/>
  <c r="EE18" i="8"/>
  <c r="EE20" i="8"/>
  <c r="EE23" i="8"/>
  <c r="EE24" i="8"/>
  <c r="EE25" i="8"/>
  <c r="EF11" i="8"/>
  <c r="EF13" i="8"/>
  <c r="EF17" i="8"/>
  <c r="EF18" i="8"/>
  <c r="EF20" i="8"/>
  <c r="EF23" i="8"/>
  <c r="EF24" i="8"/>
  <c r="EF25" i="8"/>
  <c r="EG11" i="8"/>
  <c r="EG13" i="8"/>
  <c r="EG17" i="8"/>
  <c r="EG18" i="8"/>
  <c r="EG20" i="8"/>
  <c r="EG23" i="8"/>
  <c r="EG24" i="8"/>
  <c r="EG25" i="8"/>
  <c r="EH11" i="8"/>
  <c r="EH13" i="8"/>
  <c r="EH17" i="8"/>
  <c r="EH18" i="8"/>
  <c r="EH20" i="8"/>
  <c r="EH23" i="8"/>
  <c r="EH24" i="8"/>
  <c r="EH25" i="8"/>
  <c r="EI11" i="8"/>
  <c r="EI13" i="8"/>
  <c r="EI17" i="8"/>
  <c r="EI18" i="8"/>
  <c r="EI20" i="8"/>
  <c r="EI23" i="8"/>
  <c r="EI24" i="8"/>
  <c r="EI25" i="8"/>
  <c r="EJ11" i="8"/>
  <c r="EJ13" i="8"/>
  <c r="EJ17" i="8"/>
  <c r="EJ18" i="8"/>
  <c r="EJ20" i="8"/>
  <c r="EJ23" i="8"/>
  <c r="EJ24" i="8"/>
  <c r="EJ25" i="8"/>
  <c r="EK11" i="8"/>
  <c r="EK13" i="8"/>
  <c r="EK17" i="8"/>
  <c r="EK18" i="8"/>
  <c r="EK20" i="8"/>
  <c r="EK23" i="8"/>
  <c r="EK24" i="8"/>
  <c r="EK25" i="8"/>
  <c r="EL11" i="8"/>
  <c r="EL13" i="8"/>
  <c r="EL17" i="8"/>
  <c r="EL18" i="8"/>
  <c r="EL20" i="8"/>
  <c r="EL23" i="8"/>
  <c r="EL24" i="8"/>
  <c r="EL25" i="8"/>
  <c r="EM11" i="8"/>
  <c r="EM13" i="8"/>
  <c r="EM17" i="8"/>
  <c r="EM18" i="8"/>
  <c r="EM20" i="8"/>
  <c r="EM23" i="8"/>
  <c r="EM24" i="8"/>
  <c r="EM25" i="8"/>
  <c r="EN11" i="8"/>
  <c r="EN13" i="8"/>
  <c r="EN17" i="8"/>
  <c r="EN18" i="8"/>
  <c r="EN20" i="8"/>
  <c r="EN23" i="8"/>
  <c r="EN24" i="8"/>
  <c r="EN25" i="8"/>
  <c r="EO11" i="8"/>
  <c r="EO13" i="8"/>
  <c r="EO17" i="8"/>
  <c r="EO18" i="8"/>
  <c r="EO20" i="8"/>
  <c r="EO23" i="8"/>
  <c r="EO24" i="8"/>
  <c r="EO25" i="8"/>
  <c r="EP11" i="8"/>
  <c r="EP13" i="8"/>
  <c r="EP17" i="8"/>
  <c r="EP18" i="8"/>
  <c r="EP20" i="8"/>
  <c r="EP23" i="8"/>
  <c r="EP24" i="8"/>
  <c r="EP25" i="8"/>
  <c r="EQ11" i="8"/>
  <c r="EQ13" i="8"/>
  <c r="EQ17" i="8"/>
  <c r="EQ18" i="8"/>
  <c r="EQ20" i="8"/>
  <c r="EQ23" i="8"/>
  <c r="EQ24" i="8"/>
  <c r="EQ25" i="8"/>
  <c r="ER11" i="8"/>
  <c r="ER13" i="8"/>
  <c r="ER17" i="8"/>
  <c r="ER18" i="8"/>
  <c r="ER20" i="8"/>
  <c r="ER23" i="8"/>
  <c r="ER24" i="8"/>
  <c r="ER25" i="8"/>
  <c r="ES11" i="8"/>
  <c r="ES13" i="8"/>
  <c r="ES17" i="8"/>
  <c r="ES18" i="8"/>
  <c r="ES20" i="8"/>
  <c r="ES23" i="8"/>
  <c r="ES24" i="8"/>
  <c r="ES25" i="8"/>
  <c r="ET11" i="8"/>
  <c r="ET13" i="8"/>
  <c r="ET17" i="8"/>
  <c r="ET18" i="8"/>
  <c r="ET20" i="8"/>
  <c r="ET23" i="8"/>
  <c r="ET24" i="8"/>
  <c r="ET25" i="8"/>
  <c r="EU11" i="8"/>
  <c r="EU13" i="8"/>
  <c r="EU17" i="8"/>
  <c r="EU18" i="8"/>
  <c r="EU20" i="8"/>
  <c r="EU23" i="8"/>
  <c r="EU24" i="8"/>
  <c r="EU25" i="8"/>
  <c r="EV11" i="8"/>
  <c r="EV13" i="8"/>
  <c r="EV17" i="8"/>
  <c r="EV18" i="8"/>
  <c r="EV20" i="8"/>
  <c r="EV23" i="8"/>
  <c r="EV24" i="8"/>
  <c r="EV25" i="8"/>
  <c r="EW11" i="8"/>
  <c r="EW13" i="8"/>
  <c r="EW17" i="8"/>
  <c r="EW18" i="8"/>
  <c r="EW20" i="8"/>
  <c r="EW23" i="8"/>
  <c r="EW24" i="8"/>
  <c r="EW25" i="8"/>
  <c r="EX11" i="8"/>
  <c r="EX13" i="8"/>
  <c r="EX17" i="8"/>
  <c r="EX18" i="8"/>
  <c r="EX20" i="8"/>
  <c r="EX23" i="8"/>
  <c r="EX24" i="8"/>
  <c r="EX25" i="8"/>
  <c r="EY11" i="8"/>
  <c r="EY13" i="8"/>
  <c r="EY17" i="8"/>
  <c r="EY18" i="8"/>
  <c r="EY20" i="8"/>
  <c r="EY23" i="8"/>
  <c r="EY24" i="8"/>
  <c r="EY25" i="8"/>
  <c r="EZ11" i="8"/>
  <c r="EZ13" i="8"/>
  <c r="EZ17" i="8"/>
  <c r="EZ18" i="8"/>
  <c r="EZ20" i="8"/>
  <c r="EZ23" i="8"/>
  <c r="EZ24" i="8"/>
  <c r="EZ25" i="8"/>
  <c r="FA11" i="8"/>
  <c r="FA13" i="8"/>
  <c r="FA17" i="8"/>
  <c r="FA18" i="8"/>
  <c r="FA20" i="8"/>
  <c r="FA23" i="8"/>
  <c r="FA24" i="8"/>
  <c r="FA25" i="8"/>
  <c r="FB11" i="8"/>
  <c r="FB13" i="8"/>
  <c r="FB17" i="8"/>
  <c r="FB18" i="8"/>
  <c r="FB20" i="8"/>
  <c r="FB23" i="8"/>
  <c r="FB24" i="8"/>
  <c r="FB25" i="8"/>
  <c r="FC11" i="8"/>
  <c r="FC13" i="8"/>
  <c r="FC17" i="8"/>
  <c r="FC18" i="8"/>
  <c r="FC20" i="8"/>
  <c r="FC23" i="8"/>
  <c r="FC24" i="8"/>
  <c r="FC25" i="8"/>
  <c r="FD11" i="8"/>
  <c r="FD13" i="8"/>
  <c r="FD17" i="8"/>
  <c r="FD18" i="8"/>
  <c r="FD20" i="8"/>
  <c r="FD23" i="8"/>
  <c r="FD24" i="8"/>
  <c r="FD25" i="8"/>
  <c r="FE11" i="8"/>
  <c r="FE13" i="8"/>
  <c r="FE17" i="8"/>
  <c r="FE18" i="8"/>
  <c r="FE20" i="8"/>
  <c r="FE23" i="8"/>
  <c r="FE24" i="8"/>
  <c r="FE25" i="8"/>
  <c r="FF11" i="8"/>
  <c r="FF13" i="8"/>
  <c r="FF17" i="8"/>
  <c r="FF18" i="8"/>
  <c r="FF20" i="8"/>
  <c r="FF23" i="8"/>
  <c r="FF24" i="8"/>
  <c r="FF25" i="8"/>
  <c r="FG11" i="8"/>
  <c r="FG13" i="8"/>
  <c r="FG17" i="8"/>
  <c r="FG18" i="8"/>
  <c r="FG20" i="8"/>
  <c r="FG23" i="8"/>
  <c r="FG24" i="8"/>
  <c r="FG25" i="8"/>
  <c r="FH11" i="8"/>
  <c r="FH13" i="8"/>
  <c r="FH17" i="8"/>
  <c r="FH18" i="8"/>
  <c r="FH20" i="8"/>
  <c r="FH23" i="8"/>
  <c r="FH24" i="8"/>
  <c r="FH25" i="8"/>
  <c r="B46" i="8"/>
  <c r="B49" i="8"/>
  <c r="B47" i="8"/>
  <c r="B45" i="8"/>
</calcChain>
</file>

<file path=xl/sharedStrings.xml><?xml version="1.0" encoding="utf-8"?>
<sst xmlns="http://schemas.openxmlformats.org/spreadsheetml/2006/main" count="289" uniqueCount="161">
  <si>
    <t>Fall 2022</t>
  </si>
  <si>
    <t>Spring 2023</t>
  </si>
  <si>
    <t>Fall 2023</t>
  </si>
  <si>
    <t>Spring 2024</t>
  </si>
  <si>
    <t>Tuition</t>
  </si>
  <si>
    <t>Direct Expenses and Subsidies</t>
  </si>
  <si>
    <t>Scholarship</t>
  </si>
  <si>
    <t>Total DE&amp;S</t>
  </si>
  <si>
    <t>Indirect Expenses</t>
  </si>
  <si>
    <t>Room and Board</t>
  </si>
  <si>
    <t>Total IE</t>
  </si>
  <si>
    <t>Total Cost</t>
  </si>
  <si>
    <t>PV</t>
  </si>
  <si>
    <t>Yearly</t>
  </si>
  <si>
    <t>Total 2 Years</t>
  </si>
  <si>
    <t>Fall 2024</t>
  </si>
  <si>
    <t>Spring 2025</t>
  </si>
  <si>
    <t>rate/mo</t>
  </si>
  <si>
    <t>Tech Fee</t>
  </si>
  <si>
    <t>General Fee</t>
  </si>
  <si>
    <t>Clinical Fee</t>
  </si>
  <si>
    <t>Total Inflows</t>
  </si>
  <si>
    <t>Total Outflows</t>
  </si>
  <si>
    <t>Tuition and Fees</t>
  </si>
  <si>
    <t>Living Expenses</t>
  </si>
  <si>
    <t>Total Cash Flow</t>
  </si>
  <si>
    <t>Cost of living/mo</t>
  </si>
  <si>
    <t>Inflows:</t>
  </si>
  <si>
    <t>Outflows:</t>
  </si>
  <si>
    <t>Loans</t>
  </si>
  <si>
    <t>Tuition/year</t>
  </si>
  <si>
    <t>Spillover</t>
  </si>
  <si>
    <t>Loan Recipts</t>
  </si>
  <si>
    <t>Loan Balance (running)</t>
  </si>
  <si>
    <t>Loan Payments</t>
  </si>
  <si>
    <t>Loan APR</t>
  </si>
  <si>
    <t>Loan monthly</t>
  </si>
  <si>
    <t>Salary</t>
  </si>
  <si>
    <t>Salary/year</t>
  </si>
  <si>
    <t>Total Loans Taken Out</t>
  </si>
  <si>
    <t>Fall 2025</t>
  </si>
  <si>
    <t>Spring 2026</t>
  </si>
  <si>
    <t>Total 4 Years</t>
  </si>
  <si>
    <t>EXPENSE TEMPLATE ROW</t>
  </si>
  <si>
    <t>Periods:</t>
  </si>
  <si>
    <t>END OF:</t>
  </si>
  <si>
    <t>Costs:</t>
  </si>
  <si>
    <t>Loans:</t>
  </si>
  <si>
    <t>Post-Grad:</t>
  </si>
  <si>
    <t>Subsidies (how much you can pay towards):</t>
  </si>
  <si>
    <t>Lump Sump At Beginning</t>
  </si>
  <si>
    <t>Months In School</t>
  </si>
  <si>
    <t>Loans Paid in x Months Post-Grad</t>
  </si>
  <si>
    <t>Loans Repaid in x Months</t>
  </si>
  <si>
    <t>PV Total Cost (2 years)</t>
  </si>
  <si>
    <t>Intro</t>
  </si>
  <si>
    <t>Instructions</t>
  </si>
  <si>
    <t>Step 1</t>
  </si>
  <si>
    <t>First, let's get familiar with all the sheets in the workbook:</t>
  </si>
  <si>
    <r>
      <t xml:space="preserve">Once we have the </t>
    </r>
    <r>
      <rPr>
        <b/>
        <sz val="12"/>
        <color theme="1"/>
        <rFont val="Calibri"/>
        <family val="2"/>
        <scheme val="minor"/>
      </rPr>
      <t xml:space="preserve">total cost, </t>
    </r>
    <r>
      <rPr>
        <sz val="12"/>
        <color theme="1"/>
        <rFont val="Calibri"/>
        <family val="2"/>
        <scheme val="minor"/>
      </rPr>
      <t xml:space="preserve">we can move on to the </t>
    </r>
    <r>
      <rPr>
        <i/>
        <sz val="12"/>
        <color theme="1"/>
        <rFont val="Calibri"/>
        <family val="2"/>
        <scheme val="minor"/>
      </rPr>
      <t xml:space="preserve">"CASHFLOWS_Master" </t>
    </r>
    <r>
      <rPr>
        <sz val="12"/>
        <color theme="1"/>
        <rFont val="Calibri"/>
        <family val="2"/>
        <scheme val="minor"/>
      </rPr>
      <t xml:space="preserve">sheet. Since the cost of higher education is not a </t>
    </r>
    <r>
      <rPr>
        <b/>
        <sz val="12"/>
        <color theme="1"/>
        <rFont val="Calibri"/>
        <family val="2"/>
        <scheme val="minor"/>
      </rPr>
      <t xml:space="preserve">lump sum </t>
    </r>
    <r>
      <rPr>
        <sz val="12"/>
        <color theme="1"/>
        <rFont val="Calibri"/>
        <family val="2"/>
        <scheme val="minor"/>
      </rPr>
      <t xml:space="preserve">(meaning it is not paid all at once), we will use this spreadsheet to better understand how the overall financial burden is distributed over time. This sheet will give us insights into when we need to take out loans, as well as how long it will take them to be repaid. The cool part about this sheet is that we can change an input in </t>
    </r>
    <r>
      <rPr>
        <i/>
        <sz val="12"/>
        <color theme="1"/>
        <rFont val="Calibri"/>
        <family val="2"/>
        <scheme val="minor"/>
      </rPr>
      <t xml:space="preserve">"COSTS_Master" </t>
    </r>
    <r>
      <rPr>
        <sz val="12"/>
        <color theme="1"/>
        <rFont val="Calibri"/>
        <family val="2"/>
        <scheme val="minor"/>
      </rPr>
      <t xml:space="preserve">and it will automatically recalculate outputs in "CASHFLOWS_Master" such as the loan repayment time. This is called a </t>
    </r>
    <r>
      <rPr>
        <b/>
        <sz val="12"/>
        <color theme="1"/>
        <rFont val="Calibri"/>
        <family val="2"/>
        <scheme val="minor"/>
      </rPr>
      <t>sensitivity anaylisis</t>
    </r>
    <r>
      <rPr>
        <sz val="12"/>
        <color theme="1"/>
        <rFont val="Calibri"/>
        <family val="2"/>
        <scheme val="minor"/>
      </rPr>
      <t xml:space="preserve">. This means that we can see how </t>
    </r>
    <r>
      <rPr>
        <b/>
        <sz val="12"/>
        <color theme="1"/>
        <rFont val="Calibri"/>
        <family val="2"/>
        <scheme val="minor"/>
      </rPr>
      <t xml:space="preserve">sensitive </t>
    </r>
    <r>
      <rPr>
        <sz val="12"/>
        <color theme="1"/>
        <rFont val="Calibri"/>
        <family val="2"/>
        <scheme val="minor"/>
      </rPr>
      <t xml:space="preserve">our loan repayment is (how drastically it changes) in response to differences in inputs from </t>
    </r>
    <r>
      <rPr>
        <i/>
        <sz val="12"/>
        <color theme="1"/>
        <rFont val="Calibri"/>
        <family val="2"/>
        <scheme val="minor"/>
      </rPr>
      <t xml:space="preserve">"COSTS_Master" </t>
    </r>
    <r>
      <rPr>
        <sz val="12"/>
        <color theme="1"/>
        <rFont val="Calibri"/>
        <family val="2"/>
        <scheme val="minor"/>
      </rPr>
      <t>(which school did we choose, did we receive scholarships, etc.)</t>
    </r>
  </si>
  <si>
    <t>Hello! My name is Ben, and this is the spreadsheet I made to analyze the financial implications of me pursuing higher education. I made this sheet to compare the total cost of each school I was looking at, along with an analysis of the financial burden of all loans. These are going to be step by step instructions on how to work with each spreadsheet.</t>
  </si>
  <si>
    <t>Step 2</t>
  </si>
  <si>
    <t>What are the sheets doing?</t>
  </si>
  <si>
    <t>How do we read the sheets?</t>
  </si>
  <si>
    <t xml:space="preserve">I have attempted to conveniently color code each sheet. </t>
  </si>
  <si>
    <r>
      <t xml:space="preserve">Yellow corresponds to an </t>
    </r>
    <r>
      <rPr>
        <b/>
        <sz val="12"/>
        <color theme="1"/>
        <rFont val="Calibri"/>
        <family val="2"/>
        <scheme val="minor"/>
      </rPr>
      <t>input</t>
    </r>
    <r>
      <rPr>
        <sz val="12"/>
        <color theme="1"/>
        <rFont val="Calibri"/>
        <family val="2"/>
        <scheme val="minor"/>
      </rPr>
      <t>, or something that you will first get externally and then type into the sheet. Ex. Tuition</t>
    </r>
  </si>
  <si>
    <t>Before you go further, duplicate this entire excel file. It is highly likely you will end up accidentally messing something up and want to return or refer to the original template</t>
  </si>
  <si>
    <r>
      <t xml:space="preserve">Orange corresponds to an </t>
    </r>
    <r>
      <rPr>
        <b/>
        <sz val="12"/>
        <color theme="1"/>
        <rFont val="Calibri"/>
        <family val="2"/>
        <scheme val="minor"/>
      </rPr>
      <t>output</t>
    </r>
    <r>
      <rPr>
        <sz val="12"/>
        <color theme="1"/>
        <rFont val="Calibri"/>
        <family val="2"/>
        <scheme val="minor"/>
      </rPr>
      <t>, or a calculation that has been done by the spreadsheet to provide insight.</t>
    </r>
  </si>
  <si>
    <r>
      <t xml:space="preserve">Blue corresponds to an </t>
    </r>
    <r>
      <rPr>
        <b/>
        <sz val="12"/>
        <color theme="1"/>
        <rFont val="Calibri"/>
        <family val="2"/>
        <scheme val="minor"/>
      </rPr>
      <t>intermediate caluclation</t>
    </r>
    <r>
      <rPr>
        <sz val="12"/>
        <color theme="1"/>
        <rFont val="Calibri"/>
        <family val="2"/>
        <scheme val="minor"/>
      </rPr>
      <t>, or a step in between the input and the output. Ex. Total Indirect Expenses.</t>
    </r>
  </si>
  <si>
    <t>Step 3</t>
  </si>
  <si>
    <t>DO NOT MODIFY BLUE CELLS WITHOUT MY INSTRUCTION</t>
  </si>
  <si>
    <t>DO NOT MODIFY ORANGE CELLS WITHOUT MY INSTRUCTION</t>
  </si>
  <si>
    <t>Modify these!</t>
  </si>
  <si>
    <r>
      <t>"</t>
    </r>
    <r>
      <rPr>
        <i/>
        <sz val="12"/>
        <color theme="1"/>
        <rFont val="Calibri"/>
        <family val="2"/>
        <scheme val="minor"/>
      </rPr>
      <t>COSTS_Master</t>
    </r>
    <r>
      <rPr>
        <b/>
        <sz val="12"/>
        <color theme="1"/>
        <rFont val="Calibri"/>
        <family val="2"/>
        <scheme val="minor"/>
      </rPr>
      <t>" Sheet</t>
    </r>
  </si>
  <si>
    <r>
      <t>Read the instructions in sheet "</t>
    </r>
    <r>
      <rPr>
        <i/>
        <sz val="12"/>
        <color rgb="FFFF0000"/>
        <rFont val="Calibri"/>
        <family val="2"/>
        <scheme val="minor"/>
      </rPr>
      <t>README" before using this sheet. In there I expain how each sheet interacts with the other, the color code, and how to fully customize this sheet.</t>
    </r>
  </si>
  <si>
    <r>
      <t xml:space="preserve">Alright, time to get into the good stuff.  As I stated in </t>
    </r>
    <r>
      <rPr>
        <u/>
        <sz val="12"/>
        <color theme="1"/>
        <rFont val="Calibri (Body)"/>
      </rPr>
      <t>step 1.3</t>
    </r>
    <r>
      <rPr>
        <sz val="12"/>
        <color theme="1"/>
        <rFont val="Calibri"/>
        <family val="2"/>
        <scheme val="minor"/>
      </rPr>
      <t xml:space="preserve">, </t>
    </r>
    <r>
      <rPr>
        <i/>
        <sz val="12"/>
        <color theme="1"/>
        <rFont val="Calibri"/>
        <family val="2"/>
        <scheme val="minor"/>
      </rPr>
      <t>"COSTS_Master</t>
    </r>
    <r>
      <rPr>
        <sz val="12"/>
        <color theme="1"/>
        <rFont val="Calibri"/>
        <family val="2"/>
        <scheme val="minor"/>
      </rPr>
      <t>" is where we calculate the overall cost of a program</t>
    </r>
  </si>
  <si>
    <t>Semester Expenses, broken down as follows:</t>
  </si>
  <si>
    <t>LIST OF ALL PRE-BUILT INPUTS:</t>
  </si>
  <si>
    <t>make a macro to automatically add extra rows</t>
  </si>
  <si>
    <t>Adding a Custom Expense Row</t>
  </si>
  <si>
    <t>You can also manually insert rows, and copy and paste the formulas from the row above. Note that if you do this, you will have to manually check to make sure that your new row is included in the sum fuction in each row with Total in its name. Else, your new expense won't be counted in each total.</t>
  </si>
  <si>
    <t>Notice how I said earlier not to modify blue cells without my instructions? Well, if you decide to manually modify rows, you may have to adjust some cell formulas that are filled in blue. SAVE A COPY OF THIS SHEET NOW, so if you accidentally mess up you can easily revert back to a previous version.</t>
  </si>
  <si>
    <t>Option A</t>
  </si>
  <si>
    <t>Option B</t>
  </si>
  <si>
    <t>You can add a custom expense row via the button, "add custom (indirect/direct) expense".</t>
  </si>
  <si>
    <t>This step can be undone at any point in time</t>
  </si>
  <si>
    <r>
      <t>First you'll have to choose the length of your program. Do so with the button at the top of sheet "</t>
    </r>
    <r>
      <rPr>
        <i/>
        <sz val="12"/>
        <color theme="1"/>
        <rFont val="Calibri"/>
        <family val="2"/>
        <scheme val="minor"/>
      </rPr>
      <t>COSTS_Master"</t>
    </r>
    <r>
      <rPr>
        <sz val="12"/>
        <color theme="1"/>
        <rFont val="Calibri"/>
        <family val="2"/>
        <scheme val="minor"/>
      </rPr>
      <t>. The options are 2 year or 4 year/custom. Picking 2 year will grey out years 3 and 4 so the sheet is less overwhelming to look at.</t>
    </r>
  </si>
  <si>
    <t>Reading the Outputs/Intro To Time Value of Money</t>
  </si>
  <si>
    <t>interest rate</t>
  </si>
  <si>
    <t>Time Value of Money (PV)</t>
  </si>
  <si>
    <t>General Outputs</t>
  </si>
  <si>
    <r>
      <t xml:space="preserve">There are either 2 or 4 outpus to this sheet, depending on how long you selected earlier. The core output of this sheet is </t>
    </r>
    <r>
      <rPr>
        <b/>
        <sz val="12"/>
        <color theme="1"/>
        <rFont val="Calibri"/>
        <family val="2"/>
        <scheme val="minor"/>
      </rPr>
      <t>total cost</t>
    </r>
    <r>
      <rPr>
        <sz val="12"/>
        <color theme="1"/>
        <rFont val="Calibri"/>
        <family val="2"/>
        <scheme val="minor"/>
      </rPr>
      <t xml:space="preserve">. Notice that I have included a second measure of costs that is slightly different than the first one, labeled </t>
    </r>
    <r>
      <rPr>
        <b/>
        <sz val="12"/>
        <color theme="1"/>
        <rFont val="Calibri"/>
        <family val="2"/>
        <scheme val="minor"/>
      </rPr>
      <t>PV Total Cost</t>
    </r>
    <r>
      <rPr>
        <sz val="12"/>
        <color theme="1"/>
        <rFont val="Calibri"/>
        <family val="2"/>
        <scheme val="minor"/>
      </rPr>
      <t>. There is also an extra input labeled interest rate.</t>
    </r>
  </si>
  <si>
    <t>Interest Rate</t>
  </si>
  <si>
    <r>
      <t xml:space="preserve">I have interest rate set at 7% as a conservative estimate of what one might make investing in a stock market </t>
    </r>
    <r>
      <rPr>
        <b/>
        <sz val="12"/>
        <color theme="1"/>
        <rFont val="Calibri"/>
        <family val="2"/>
        <scheme val="minor"/>
      </rPr>
      <t xml:space="preserve">index fund. </t>
    </r>
    <r>
      <rPr>
        <sz val="12"/>
        <color theme="1"/>
        <rFont val="Calibri"/>
        <family val="2"/>
        <scheme val="minor"/>
      </rPr>
      <t>This number could realistically be closer to 10% depending on one's individual investments. Put here your average lifetime return on all of your investment. If you don't have any investments put 0. If you have investments but don't know the lifetime annualize return, keep it at 7. Being exact here isn't a huge deal.</t>
    </r>
  </si>
  <si>
    <r>
      <t xml:space="preserve">I added these features to take into account something called </t>
    </r>
    <r>
      <rPr>
        <b/>
        <sz val="12"/>
        <color theme="1"/>
        <rFont val="Calibri"/>
        <family val="2"/>
        <scheme val="minor"/>
      </rPr>
      <t>Time Value of Money</t>
    </r>
    <r>
      <rPr>
        <sz val="12"/>
        <color theme="1"/>
        <rFont val="Calibri"/>
        <family val="2"/>
        <scheme val="minor"/>
      </rPr>
      <t xml:space="preserve">. Investopedia defines </t>
    </r>
    <r>
      <rPr>
        <b/>
        <sz val="12"/>
        <color theme="1"/>
        <rFont val="Calibri"/>
        <family val="2"/>
        <scheme val="minor"/>
      </rPr>
      <t xml:space="preserve">TVM </t>
    </r>
    <r>
      <rPr>
        <sz val="12"/>
        <color theme="1"/>
        <rFont val="Calibri"/>
        <family val="2"/>
        <scheme val="minor"/>
      </rPr>
      <t xml:space="preserve">as, "the concept that a sum of money is worth more now than the same sum will be at a future date due to its earnings potential in the interim." This is relevant because tuition is paid over time, not in a single lump sum. The </t>
    </r>
    <r>
      <rPr>
        <b/>
        <sz val="12"/>
        <color theme="1"/>
        <rFont val="Calibri"/>
        <family val="2"/>
        <scheme val="minor"/>
      </rPr>
      <t>Total Cost PV</t>
    </r>
    <r>
      <rPr>
        <sz val="12"/>
        <color theme="1"/>
        <rFont val="Calibri"/>
        <family val="2"/>
        <scheme val="minor"/>
      </rPr>
      <t xml:space="preserve"> output shows how much money you would have to invest now at (x) interest rate in order to be able to pay each expense as it comes up. Notice that it is less than the </t>
    </r>
    <r>
      <rPr>
        <b/>
        <sz val="12"/>
        <color theme="1"/>
        <rFont val="Calibri"/>
        <family val="2"/>
        <scheme val="minor"/>
      </rPr>
      <t xml:space="preserve">Total Cost. </t>
    </r>
    <r>
      <rPr>
        <sz val="12"/>
        <color theme="1"/>
        <rFont val="Calibri"/>
        <family val="2"/>
        <scheme val="minor"/>
      </rPr>
      <t>This is because you have extra time to invest money and earn a return, before the eventual payment of expense.</t>
    </r>
  </si>
  <si>
    <r>
      <t xml:space="preserve">Notice that if you set the interest rate to zero, </t>
    </r>
    <r>
      <rPr>
        <b/>
        <sz val="12"/>
        <color theme="1"/>
        <rFont val="Calibri"/>
        <family val="2"/>
        <scheme val="minor"/>
      </rPr>
      <t xml:space="preserve">Total Cost </t>
    </r>
    <r>
      <rPr>
        <sz val="12"/>
        <color theme="1"/>
        <rFont val="Calibri"/>
        <family val="2"/>
        <scheme val="minor"/>
      </rPr>
      <t>and</t>
    </r>
    <r>
      <rPr>
        <b/>
        <sz val="12"/>
        <color theme="1"/>
        <rFont val="Calibri"/>
        <family val="2"/>
        <scheme val="minor"/>
      </rPr>
      <t xml:space="preserve"> Total Cost PV </t>
    </r>
    <r>
      <rPr>
        <sz val="12"/>
        <color theme="1"/>
        <rFont val="Calibri"/>
        <family val="2"/>
        <scheme val="minor"/>
      </rPr>
      <t>are the same. This is because with no investment you won't earn any return, even if you have all the time in the world to invest before paying the expense.</t>
    </r>
  </si>
  <si>
    <t>Subsidies</t>
  </si>
  <si>
    <t>General Subsidy</t>
  </si>
  <si>
    <t>A General Subsidy is any extra money you receive to pay Tuition from a source outside of a scholarship. This could be from a College Fund (529), a Job, etc.</t>
  </si>
  <si>
    <r>
      <t xml:space="preserve">To </t>
    </r>
    <r>
      <rPr>
        <b/>
        <sz val="12"/>
        <color theme="1"/>
        <rFont val="Calibri"/>
        <family val="2"/>
        <scheme val="minor"/>
      </rPr>
      <t>compare multiple schools</t>
    </r>
    <r>
      <rPr>
        <sz val="12"/>
        <color theme="1"/>
        <rFont val="Calibri"/>
        <family val="2"/>
        <scheme val="minor"/>
      </rPr>
      <t>, simply select the entirety of the anlysis (include every cell with content), and paste it below. All formulas will adjust.</t>
    </r>
  </si>
  <si>
    <t>Step 4</t>
  </si>
  <si>
    <r>
      <t xml:space="preserve">"CASHFLOWS_Master </t>
    </r>
    <r>
      <rPr>
        <b/>
        <sz val="12"/>
        <color theme="1"/>
        <rFont val="Calibri"/>
        <family val="2"/>
        <scheme val="minor"/>
      </rPr>
      <t>Sheet</t>
    </r>
  </si>
  <si>
    <t>Congrats on making it this far. This sheet is where we'll look at the overall timeline of expenses on a month to month basis. This is where we will learn how many (if any) loans we'll need, and what it will look like to repay them.</t>
  </si>
  <si>
    <r>
      <t>AS before, you'll have to choose the length of your program. Do so with the button at the top of sheet "</t>
    </r>
    <r>
      <rPr>
        <i/>
        <sz val="12"/>
        <color theme="1"/>
        <rFont val="Calibri"/>
        <family val="2"/>
        <scheme val="minor"/>
      </rPr>
      <t>CASHFLOWS_Master"</t>
    </r>
    <r>
      <rPr>
        <sz val="12"/>
        <color theme="1"/>
        <rFont val="Calibri"/>
        <family val="2"/>
        <scheme val="minor"/>
      </rPr>
      <t>. The options are 2 year or 4 year/custom. Picking 2 year will only expense tutition for 2 years, as opposed to 4.</t>
    </r>
  </si>
  <si>
    <t>IE Template Row</t>
  </si>
  <si>
    <t>Select Program Length:</t>
  </si>
  <si>
    <t>&lt;- click, then use the dropdown arrow</t>
  </si>
  <si>
    <t>Note: Coming to terms with the amount of debt I had to take on was a difficult process. This analysis should serve to provide you with data that you can use to help inform your decision to go to x progam.</t>
  </si>
  <si>
    <t>Lump Sump At Beginning (From College Fund (529), Graduation Gift, etc.)</t>
  </si>
  <si>
    <t>Projected Yearly Growth</t>
  </si>
  <si>
    <t>Year</t>
  </si>
  <si>
    <t>Projected Salary</t>
  </si>
  <si>
    <t>Total Cost (per year)</t>
  </si>
  <si>
    <r>
      <t>These rows are representative of where you'll input all of your known expenses/subsidies (over in "</t>
    </r>
    <r>
      <rPr>
        <i/>
        <sz val="12"/>
        <color theme="1"/>
        <rFont val="Calibri"/>
        <family val="2"/>
        <scheme val="minor"/>
      </rPr>
      <t>COSTS_Master"</t>
    </r>
    <r>
      <rPr>
        <sz val="12"/>
        <color theme="1"/>
        <rFont val="Calibri"/>
        <family val="2"/>
        <scheme val="minor"/>
      </rPr>
      <t xml:space="preserve">). If you don't have an exact value for an expense, just estimate it. The beautiy of an analysis like this is that you can watch how total cost changes with a change in your estimation. If </t>
    </r>
    <r>
      <rPr>
        <b/>
        <sz val="12"/>
        <color theme="1"/>
        <rFont val="Calibri"/>
        <family val="2"/>
        <scheme val="minor"/>
      </rPr>
      <t>total cost</t>
    </r>
    <r>
      <rPr>
        <sz val="12"/>
        <color theme="1"/>
        <rFont val="Calibri"/>
        <family val="2"/>
        <scheme val="minor"/>
      </rPr>
      <t xml:space="preserve"> changes drastically with a change in your estimate, you know that it will be more important to have an accurate estimate. If </t>
    </r>
    <r>
      <rPr>
        <b/>
        <sz val="12"/>
        <color theme="1"/>
        <rFont val="Calibri"/>
        <family val="2"/>
        <scheme val="minor"/>
      </rPr>
      <t>total cost</t>
    </r>
    <r>
      <rPr>
        <sz val="12"/>
        <color theme="1"/>
        <rFont val="Calibri"/>
        <family val="2"/>
        <scheme val="minor"/>
      </rPr>
      <t xml:space="preserve"> barely moves with a change in your estimate, you know that an inaccurate estimate will only have a small effect on the overall model.</t>
    </r>
  </si>
  <si>
    <t xml:space="preserve">These rows are representative of where you'll input all of your known inputs (over in "CASHFLOWS_Master"). Once again if you don't have an exact value, just estimate it. </t>
  </si>
  <si>
    <t xml:space="preserve">Total cost of living (all expenses outside of School). Total cost of life outside of what we calculated in the previous sheet. </t>
  </si>
  <si>
    <t>How much you can put towards cost of living expenses.</t>
  </si>
  <si>
    <t>How much you can put towards tuition each year.</t>
  </si>
  <si>
    <t>Any lump sum you can put towards expenses at the beginning of the first period.</t>
  </si>
  <si>
    <t>Estimated starting salary per year</t>
  </si>
  <si>
    <t>APR of any student loans you plan to take out</t>
  </si>
  <si>
    <t>Projected yearly growth</t>
  </si>
  <si>
    <t>How much will your salary grow each year, on average</t>
  </si>
  <si>
    <t>Reading the Outputs</t>
  </si>
  <si>
    <t>Loan Repayment</t>
  </si>
  <si>
    <r>
      <t xml:space="preserve">Remember, all outputs are highlighted in orange. One of the core outputs from this sheet is </t>
    </r>
    <r>
      <rPr>
        <b/>
        <sz val="12"/>
        <color theme="1"/>
        <rFont val="Calibri"/>
        <family val="2"/>
        <scheme val="minor"/>
      </rPr>
      <t>total loans taken out</t>
    </r>
    <r>
      <rPr>
        <sz val="12"/>
        <color theme="1"/>
        <rFont val="Calibri"/>
        <family val="2"/>
        <scheme val="minor"/>
      </rPr>
      <t>, which calculates the total amount of loan's one would need to take out to cover school + all other living expenses.</t>
    </r>
  </si>
  <si>
    <t>This shows how long it will take to repay all loans taken out.</t>
  </si>
  <si>
    <t>Using the timeline to get additional insight</t>
  </si>
  <si>
    <t>Subsidy - Cost of Living</t>
  </si>
  <si>
    <t>Subsidy - Tuition</t>
  </si>
  <si>
    <r>
      <t xml:space="preserve">Note: if you are working during school, put the amount of money you will put towards expenses in the </t>
    </r>
    <r>
      <rPr>
        <b/>
        <i/>
        <sz val="12"/>
        <color theme="1"/>
        <rFont val="Calibri"/>
        <family val="2"/>
        <scheme val="minor"/>
      </rPr>
      <t xml:space="preserve">cost of living/mo </t>
    </r>
    <r>
      <rPr>
        <i/>
        <sz val="12"/>
        <color theme="1"/>
        <rFont val="Calibri"/>
        <family val="2"/>
        <scheme val="minor"/>
      </rPr>
      <t xml:space="preserve">and </t>
    </r>
    <r>
      <rPr>
        <b/>
        <i/>
        <sz val="12"/>
        <color theme="1"/>
        <rFont val="Calibri"/>
        <family val="2"/>
        <scheme val="minor"/>
      </rPr>
      <t xml:space="preserve">tuition/year </t>
    </r>
    <r>
      <rPr>
        <i/>
        <sz val="12"/>
        <color theme="1"/>
        <rFont val="Calibri"/>
        <family val="2"/>
        <scheme val="minor"/>
      </rPr>
      <t xml:space="preserve">inputs in the </t>
    </r>
    <r>
      <rPr>
        <b/>
        <i/>
        <sz val="12"/>
        <color theme="1"/>
        <rFont val="Calibri"/>
        <family val="2"/>
        <scheme val="minor"/>
      </rPr>
      <t>subsidy</t>
    </r>
    <r>
      <rPr>
        <i/>
        <sz val="12"/>
        <color theme="1"/>
        <rFont val="Calibri"/>
        <family val="2"/>
        <scheme val="minor"/>
      </rPr>
      <t xml:space="preserve"> category. Put your estmated </t>
    </r>
    <r>
      <rPr>
        <b/>
        <i/>
        <sz val="12"/>
        <color theme="1"/>
        <rFont val="Calibri"/>
        <family val="2"/>
        <scheme val="minor"/>
      </rPr>
      <t>post-grad</t>
    </r>
    <r>
      <rPr>
        <i/>
        <sz val="12"/>
        <color theme="1"/>
        <rFont val="Calibri"/>
        <family val="2"/>
        <scheme val="minor"/>
      </rPr>
      <t xml:space="preserve"> salary in </t>
    </r>
    <r>
      <rPr>
        <b/>
        <i/>
        <sz val="12"/>
        <color theme="1"/>
        <rFont val="Calibri"/>
        <family val="2"/>
        <scheme val="minor"/>
      </rPr>
      <t xml:space="preserve">salary. </t>
    </r>
  </si>
  <si>
    <r>
      <t xml:space="preserve">Notice that the core analysis in this sheet gets done in the timeline off to the right. It is layed out by period (month) and includes three sections. </t>
    </r>
    <r>
      <rPr>
        <b/>
        <sz val="12"/>
        <color theme="1"/>
        <rFont val="Calibri"/>
        <family val="2"/>
        <scheme val="minor"/>
      </rPr>
      <t xml:space="preserve">Inflows, Outflows, </t>
    </r>
    <r>
      <rPr>
        <sz val="12"/>
        <color theme="1"/>
        <rFont val="Calibri"/>
        <family val="2"/>
        <scheme val="minor"/>
      </rPr>
      <t xml:space="preserve">and </t>
    </r>
    <r>
      <rPr>
        <b/>
        <sz val="12"/>
        <color theme="1"/>
        <rFont val="Calibri"/>
        <family val="2"/>
        <scheme val="minor"/>
      </rPr>
      <t>Loans.</t>
    </r>
    <r>
      <rPr>
        <sz val="12"/>
        <color theme="1"/>
        <rFont val="Calibri"/>
        <family val="2"/>
        <scheme val="minor"/>
      </rPr>
      <t xml:space="preserve"> Inflows and outflows represent cash going in and out, respectively. Since school expenses are usually paid as lump sums every semester (and not paid evenly each month), the </t>
    </r>
    <r>
      <rPr>
        <b/>
        <sz val="12"/>
        <color theme="1"/>
        <rFont val="Calibri"/>
        <family val="2"/>
        <scheme val="minor"/>
      </rPr>
      <t>total outflows</t>
    </r>
    <r>
      <rPr>
        <sz val="12"/>
        <color theme="1"/>
        <rFont val="Calibri"/>
        <family val="2"/>
        <scheme val="minor"/>
      </rPr>
      <t xml:space="preserve"> for any given months is not going to be representative of average monthly spending. The best insight will come from the </t>
    </r>
    <r>
      <rPr>
        <b/>
        <sz val="12"/>
        <color theme="1"/>
        <rFont val="Calibri"/>
        <family val="2"/>
        <scheme val="minor"/>
      </rPr>
      <t>Loans</t>
    </r>
    <r>
      <rPr>
        <sz val="12"/>
        <color theme="1"/>
        <rFont val="Calibri"/>
        <family val="2"/>
        <scheme val="minor"/>
      </rPr>
      <t xml:space="preserve"> section.</t>
    </r>
  </si>
  <si>
    <t>Overview</t>
  </si>
  <si>
    <t>Loans Section</t>
  </si>
  <si>
    <r>
      <t xml:space="preserve">The </t>
    </r>
    <r>
      <rPr>
        <b/>
        <sz val="12"/>
        <color theme="1"/>
        <rFont val="Calibri"/>
        <family val="2"/>
        <scheme val="minor"/>
      </rPr>
      <t>Loans</t>
    </r>
    <r>
      <rPr>
        <sz val="12"/>
        <color theme="1"/>
        <rFont val="Calibri"/>
        <family val="2"/>
        <scheme val="minor"/>
      </rPr>
      <t xml:space="preserve"> section is broken down into 3 measures: </t>
    </r>
    <r>
      <rPr>
        <b/>
        <sz val="12"/>
        <color theme="1"/>
        <rFont val="Calibri"/>
        <family val="2"/>
        <scheme val="minor"/>
      </rPr>
      <t>loan recipts, loan payments, and loan balance</t>
    </r>
    <r>
      <rPr>
        <sz val="12"/>
        <color theme="1"/>
        <rFont val="Calibri"/>
        <family val="2"/>
        <scheme val="minor"/>
      </rPr>
      <t xml:space="preserve">. </t>
    </r>
  </si>
  <si>
    <r>
      <t xml:space="preserve">Loan recipts </t>
    </r>
    <r>
      <rPr>
        <sz val="12"/>
        <color theme="1"/>
        <rFont val="Calibri"/>
        <family val="2"/>
        <scheme val="minor"/>
      </rPr>
      <t xml:space="preserve">represents money you will </t>
    </r>
    <r>
      <rPr>
        <b/>
        <sz val="12"/>
        <color theme="1"/>
        <rFont val="Calibri"/>
        <family val="2"/>
        <scheme val="minor"/>
      </rPr>
      <t>receive</t>
    </r>
    <r>
      <rPr>
        <sz val="12"/>
        <color theme="1"/>
        <rFont val="Calibri"/>
        <family val="2"/>
        <scheme val="minor"/>
      </rPr>
      <t xml:space="preserve"> from a loan. Notice the sheet automatically calculates when you'll need to take out a loan - each loan will appear as a recipt</t>
    </r>
  </si>
  <si>
    <r>
      <t xml:space="preserve">Loan payments </t>
    </r>
    <r>
      <rPr>
        <sz val="12"/>
        <color theme="1"/>
        <rFont val="Calibri"/>
        <family val="2"/>
        <scheme val="minor"/>
      </rPr>
      <t>represents money you'll use to pay down the loans. This amount will be automatically maximized, as it wouldn’t make sense to only partially contribute to paying down a loan when is is accruing interest.</t>
    </r>
  </si>
  <si>
    <r>
      <t xml:space="preserve">Loan balance </t>
    </r>
    <r>
      <rPr>
        <sz val="12"/>
        <color theme="1"/>
        <rFont val="Calibri"/>
        <family val="2"/>
        <scheme val="minor"/>
      </rPr>
      <t xml:space="preserve">represents the overall amount of debt as of any given period. When this reaches zero, all debt has been paid off, and this sheet is no longer useful. I have automatically greyed out the timeline after all loans have been repaid. This model should not be used to analyze finances </t>
    </r>
    <r>
      <rPr>
        <b/>
        <sz val="12"/>
        <color theme="1"/>
        <rFont val="Calibri"/>
        <family val="2"/>
        <scheme val="minor"/>
      </rPr>
      <t xml:space="preserve">post loan repayment </t>
    </r>
    <r>
      <rPr>
        <sz val="12"/>
        <color theme="1"/>
        <rFont val="Calibri"/>
        <family val="2"/>
        <scheme val="minor"/>
      </rPr>
      <t>(don't take any info from the greayed out section).</t>
    </r>
  </si>
  <si>
    <t>Step 5</t>
  </si>
  <si>
    <t>www.beneverman.com</t>
  </si>
  <si>
    <t>Congrats on making it through the instructions, I hope these were helpful. Make sure to check out my website for more resources like this one.</t>
  </si>
  <si>
    <t>Conclusion</t>
  </si>
  <si>
    <t>You can see that we have 5 sheets in total. You are currently reading from the README, or the master instruction sheet.</t>
  </si>
  <si>
    <r>
      <t>Then, we have the "</t>
    </r>
    <r>
      <rPr>
        <i/>
        <sz val="12"/>
        <color theme="1"/>
        <rFont val="Calibri"/>
        <family val="2"/>
        <scheme val="minor"/>
      </rPr>
      <t xml:space="preserve">COSTS_Master" </t>
    </r>
    <r>
      <rPr>
        <sz val="12"/>
        <color theme="1"/>
        <rFont val="Calibri"/>
        <family val="2"/>
        <scheme val="minor"/>
      </rPr>
      <t xml:space="preserve">sheet. This sheet is a basic financial analysis of a school. Its purpose is to produce the </t>
    </r>
    <r>
      <rPr>
        <b/>
        <sz val="12"/>
        <color theme="1"/>
        <rFont val="Calibri"/>
        <family val="2"/>
        <scheme val="minor"/>
      </rPr>
      <t>total cost</t>
    </r>
    <r>
      <rPr>
        <sz val="12"/>
        <color theme="1"/>
        <rFont val="Calibri"/>
        <family val="2"/>
        <scheme val="minor"/>
      </rPr>
      <t xml:space="preserve"> of a particular program.</t>
    </r>
  </si>
  <si>
    <r>
      <t>The</t>
    </r>
    <r>
      <rPr>
        <i/>
        <sz val="12"/>
        <color theme="1"/>
        <rFont val="Calibri"/>
        <family val="2"/>
        <scheme val="minor"/>
      </rPr>
      <t xml:space="preserve"> "CASHFLOWS_Example" </t>
    </r>
    <r>
      <rPr>
        <sz val="12"/>
        <color theme="1"/>
        <rFont val="Calibri"/>
        <family val="2"/>
        <scheme val="minor"/>
      </rPr>
      <t>contains a fully filled out example.</t>
    </r>
  </si>
  <si>
    <r>
      <t xml:space="preserve"> The </t>
    </r>
    <r>
      <rPr>
        <i/>
        <sz val="12"/>
        <color theme="1"/>
        <rFont val="Calibri"/>
        <family val="2"/>
        <scheme val="minor"/>
      </rPr>
      <t>"COSTS_Example"</t>
    </r>
    <r>
      <rPr>
        <sz val="12"/>
        <color theme="1"/>
        <rFont val="Calibri"/>
        <family val="2"/>
        <scheme val="minor"/>
      </rPr>
      <t xml:space="preserve"> sheet contains a fully filled out example.</t>
    </r>
  </si>
  <si>
    <t>https://support.microsoft.com/en-us/office/macros-in-office-files-12b036fd-d140-4e74-b45e-16fed1a7e5c6</t>
  </si>
  <si>
    <t>A note on MACROS: you should have gotten a pop up when opening the sheet that asked if you wanted to enable or disable macros. Macros are pieces of code that perform several excel functions/actions all at once. I have used a macro in one of these sheets to automatically add and format a new expense row. If you already clicked diasble macros and would like to reenable them to use the button, here is a link showing you how to do so. Don't worry, this button is non essential - you can do everything it does atomatically in a minute or two manually.</t>
  </si>
  <si>
    <t>Summer 2023</t>
  </si>
  <si>
    <t>Summer 2024</t>
  </si>
  <si>
    <t>4 Year</t>
  </si>
  <si>
    <t>Summer 2025</t>
  </si>
  <si>
    <t>Summer 2026</t>
  </si>
  <si>
    <t>PV Fall</t>
  </si>
  <si>
    <t>PV Spring</t>
  </si>
  <si>
    <t>PV Summer</t>
  </si>
  <si>
    <t>PV Total Cost (4 Years)</t>
  </si>
  <si>
    <t>Period (mo)</t>
  </si>
  <si>
    <t>Show/Hide Summer:</t>
  </si>
  <si>
    <t>Total Cost (2yr/4yr)</t>
  </si>
  <si>
    <t>2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</si>
</sst>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4" x14ac:knownFonts="1">
    <font>
      <sz val="12"/>
      <color theme="1"/>
      <name val="Calibri"/>
      <family val="2"/>
      <scheme val="minor"/>
    </font>
    <font>
      <b/>
      <sz val="12"/>
      <color theme="1"/>
      <name val="Calibri"/>
      <family val="2"/>
      <scheme val="minor"/>
    </font>
    <font>
      <sz val="12"/>
      <color theme="1"/>
      <name val="Calibri"/>
      <family val="2"/>
      <scheme val="minor"/>
    </font>
    <font>
      <i/>
      <sz val="12"/>
      <color theme="1"/>
      <name val="Calibri"/>
      <family val="2"/>
      <scheme val="minor"/>
    </font>
    <font>
      <sz val="12"/>
      <color rgb="FFFF0000"/>
      <name val="Calibri"/>
      <family val="2"/>
      <scheme val="minor"/>
    </font>
    <font>
      <i/>
      <sz val="12"/>
      <color rgb="FFFF0000"/>
      <name val="Calibri"/>
      <family val="2"/>
      <scheme val="minor"/>
    </font>
    <font>
      <b/>
      <sz val="12"/>
      <color theme="1"/>
      <name val="Calibri (Body)"/>
    </font>
    <font>
      <u/>
      <sz val="12"/>
      <color theme="1"/>
      <name val="Calibri (Body)"/>
    </font>
    <font>
      <sz val="12"/>
      <name val="Calibri"/>
      <family val="2"/>
      <scheme val="minor"/>
    </font>
    <font>
      <sz val="12"/>
      <color rgb="FF000000"/>
      <name val="Calibri"/>
      <family val="2"/>
    </font>
    <font>
      <sz val="12"/>
      <color theme="0"/>
      <name val="Calibri"/>
      <family val="2"/>
      <scheme val="minor"/>
    </font>
    <font>
      <u/>
      <sz val="12"/>
      <color theme="10"/>
      <name val="Calibri"/>
      <family val="2"/>
      <scheme val="minor"/>
    </font>
    <font>
      <sz val="12"/>
      <color rgb="FF000000"/>
      <name val="Calibri"/>
      <family val="2"/>
      <scheme val="minor"/>
    </font>
    <font>
      <b/>
      <i/>
      <sz val="12"/>
      <color theme="1"/>
      <name val="Calibri"/>
      <family val="2"/>
      <scheme val="minor"/>
    </font>
  </fonts>
  <fills count="9">
    <fill>
      <patternFill patternType="none"/>
    </fill>
    <fill>
      <patternFill patternType="gray125"/>
    </fill>
    <fill>
      <patternFill patternType="solid">
        <fgColor rgb="FFF6FF00"/>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bgColor indexed="64"/>
      </patternFill>
    </fill>
    <fill>
      <patternFill patternType="solid">
        <fgColor theme="0"/>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9" fontId="2" fillId="0" borderId="0" applyFont="0" applyFill="0" applyBorder="0" applyAlignment="0" applyProtection="0"/>
    <xf numFmtId="0" fontId="11" fillId="0" borderId="0" applyNumberFormat="0" applyFill="0" applyBorder="0" applyAlignment="0" applyProtection="0"/>
  </cellStyleXfs>
  <cellXfs count="85">
    <xf numFmtId="0" fontId="0" fillId="0" borderId="0" xfId="0"/>
    <xf numFmtId="0" fontId="1" fillId="0" borderId="0" xfId="0" applyFont="1"/>
    <xf numFmtId="44" fontId="0" fillId="0" borderId="0" xfId="1" applyFont="1"/>
    <xf numFmtId="0" fontId="0" fillId="0" borderId="0" xfId="0" applyFont="1"/>
    <xf numFmtId="0" fontId="1" fillId="0" borderId="0" xfId="0" applyFont="1" applyFill="1" applyBorder="1"/>
    <xf numFmtId="10" fontId="0" fillId="3" borderId="0" xfId="0" applyNumberFormat="1" applyFill="1"/>
    <xf numFmtId="44" fontId="0" fillId="0" borderId="0" xfId="0" applyNumberFormat="1" applyBorder="1"/>
    <xf numFmtId="44" fontId="1" fillId="0" borderId="0" xfId="0" applyNumberFormat="1" applyFont="1" applyBorder="1"/>
    <xf numFmtId="0" fontId="1" fillId="0" borderId="2" xfId="0" applyFont="1" applyBorder="1"/>
    <xf numFmtId="0" fontId="1" fillId="0" borderId="0" xfId="0" applyFont="1" applyBorder="1"/>
    <xf numFmtId="44" fontId="0" fillId="2" borderId="0" xfId="1" applyFont="1" applyFill="1"/>
    <xf numFmtId="44" fontId="0" fillId="5" borderId="0" xfId="1" applyFont="1" applyFill="1"/>
    <xf numFmtId="44" fontId="0" fillId="5" borderId="0" xfId="0" applyNumberFormat="1" applyFill="1"/>
    <xf numFmtId="44" fontId="0" fillId="5" borderId="2" xfId="0" applyNumberFormat="1" applyFill="1" applyBorder="1"/>
    <xf numFmtId="44" fontId="0" fillId="2" borderId="0" xfId="0" applyNumberFormat="1" applyFill="1"/>
    <xf numFmtId="44" fontId="0" fillId="6" borderId="2" xfId="1" applyFont="1" applyFill="1" applyBorder="1"/>
    <xf numFmtId="44" fontId="0" fillId="6" borderId="2" xfId="0" applyNumberFormat="1" applyFill="1" applyBorder="1"/>
    <xf numFmtId="44" fontId="0" fillId="6" borderId="0" xfId="1" applyFont="1" applyFill="1"/>
    <xf numFmtId="0" fontId="1" fillId="0" borderId="0" xfId="0" applyNumberFormat="1" applyFont="1" applyBorder="1"/>
    <xf numFmtId="44" fontId="1" fillId="4" borderId="2" xfId="0" applyNumberFormat="1" applyFont="1" applyFill="1" applyBorder="1"/>
    <xf numFmtId="44" fontId="1" fillId="4" borderId="4" xfId="1" applyFont="1" applyFill="1" applyBorder="1"/>
    <xf numFmtId="44" fontId="1" fillId="4" borderId="3" xfId="1" applyFont="1" applyFill="1" applyBorder="1"/>
    <xf numFmtId="44" fontId="2" fillId="2" borderId="0" xfId="1" applyFont="1" applyFill="1"/>
    <xf numFmtId="10" fontId="0" fillId="2" borderId="0" xfId="0" applyNumberFormat="1" applyFill="1"/>
    <xf numFmtId="44" fontId="1" fillId="5" borderId="2" xfId="0" applyNumberFormat="1" applyFont="1" applyFill="1" applyBorder="1"/>
    <xf numFmtId="0" fontId="0" fillId="5" borderId="0" xfId="0" applyFill="1"/>
    <xf numFmtId="44" fontId="1" fillId="5" borderId="2" xfId="1" applyFont="1" applyFill="1" applyBorder="1"/>
    <xf numFmtId="44" fontId="0" fillId="0" borderId="0" xfId="1" applyFont="1" applyFill="1"/>
    <xf numFmtId="44" fontId="0" fillId="0" borderId="0" xfId="0" applyNumberFormat="1" applyFill="1"/>
    <xf numFmtId="0" fontId="0" fillId="2" borderId="0" xfId="0" applyFill="1"/>
    <xf numFmtId="0" fontId="1" fillId="7" borderId="3" xfId="0" applyFont="1" applyFill="1" applyBorder="1"/>
    <xf numFmtId="0" fontId="3" fillId="0" borderId="0" xfId="0" applyFont="1"/>
    <xf numFmtId="0" fontId="0" fillId="0" borderId="0" xfId="0" applyAlignment="1">
      <alignment wrapText="1"/>
    </xf>
    <xf numFmtId="0" fontId="1" fillId="0" borderId="1" xfId="0" applyFont="1" applyBorder="1"/>
    <xf numFmtId="0" fontId="3" fillId="0" borderId="1" xfId="0" applyFont="1" applyBorder="1"/>
    <xf numFmtId="0" fontId="6" fillId="0" borderId="1" xfId="0" applyFont="1" applyFill="1" applyBorder="1"/>
    <xf numFmtId="0" fontId="0" fillId="4" borderId="0" xfId="0" applyFill="1"/>
    <xf numFmtId="0" fontId="0" fillId="0" borderId="0" xfId="0" applyFont="1" applyAlignment="1">
      <alignment horizontal="center"/>
    </xf>
    <xf numFmtId="0" fontId="0" fillId="2" borderId="0" xfId="0" applyFont="1" applyFill="1"/>
    <xf numFmtId="0" fontId="0" fillId="0" borderId="0" xfId="0" applyFont="1" applyFill="1"/>
    <xf numFmtId="0" fontId="0" fillId="0" borderId="0" xfId="0" applyFont="1" applyFill="1" applyAlignment="1">
      <alignment wrapText="1"/>
    </xf>
    <xf numFmtId="0" fontId="3" fillId="0" borderId="0" xfId="0" applyFont="1" applyAlignment="1">
      <alignment wrapText="1"/>
    </xf>
    <xf numFmtId="0" fontId="0" fillId="0" borderId="0" xfId="0" applyAlignment="1">
      <alignment horizontal="right"/>
    </xf>
    <xf numFmtId="10" fontId="8" fillId="5" borderId="0" xfId="2" applyNumberFormat="1" applyFont="1" applyFill="1"/>
    <xf numFmtId="0" fontId="3" fillId="0" borderId="2" xfId="0" applyFont="1" applyBorder="1" applyAlignment="1">
      <alignment wrapText="1"/>
    </xf>
    <xf numFmtId="0" fontId="4" fillId="0" borderId="6" xfId="0" applyFont="1" applyBorder="1"/>
    <xf numFmtId="0" fontId="0" fillId="0" borderId="7" xfId="0" applyBorder="1"/>
    <xf numFmtId="0" fontId="0" fillId="0" borderId="8" xfId="0" applyBorder="1"/>
    <xf numFmtId="0" fontId="0" fillId="0" borderId="0" xfId="0" applyBorder="1"/>
    <xf numFmtId="0" fontId="0" fillId="0" borderId="10" xfId="0" applyBorder="1"/>
    <xf numFmtId="0" fontId="12" fillId="0" borderId="0" xfId="0" applyFont="1" applyBorder="1"/>
    <xf numFmtId="0" fontId="0" fillId="0" borderId="1" xfId="0" applyBorder="1"/>
    <xf numFmtId="0" fontId="0" fillId="0" borderId="12" xfId="0" applyBorder="1"/>
    <xf numFmtId="0" fontId="0" fillId="0" borderId="9" xfId="0" applyBorder="1"/>
    <xf numFmtId="0" fontId="1" fillId="0" borderId="11" xfId="0" applyFont="1" applyBorder="1"/>
    <xf numFmtId="0" fontId="0" fillId="0" borderId="1" xfId="0" applyFont="1" applyBorder="1"/>
    <xf numFmtId="0" fontId="0" fillId="2" borderId="1" xfId="0" applyFill="1" applyBorder="1"/>
    <xf numFmtId="0" fontId="10" fillId="0" borderId="0" xfId="0" applyFont="1"/>
    <xf numFmtId="0" fontId="10" fillId="0" borderId="0" xfId="0" applyFont="1" applyBorder="1"/>
    <xf numFmtId="9" fontId="0" fillId="2" borderId="0" xfId="1" applyNumberFormat="1" applyFont="1" applyFill="1"/>
    <xf numFmtId="44" fontId="0" fillId="0" borderId="0" xfId="0" applyNumberFormat="1"/>
    <xf numFmtId="0" fontId="1" fillId="0" borderId="15" xfId="0" applyFont="1" applyBorder="1"/>
    <xf numFmtId="0" fontId="1" fillId="0" borderId="5" xfId="0" applyFont="1" applyBorder="1"/>
    <xf numFmtId="44" fontId="0" fillId="5" borderId="13" xfId="0" applyNumberFormat="1" applyFill="1" applyBorder="1"/>
    <xf numFmtId="44" fontId="0" fillId="5" borderId="14" xfId="0" applyNumberFormat="1" applyFill="1" applyBorder="1"/>
    <xf numFmtId="0" fontId="0" fillId="8" borderId="9" xfId="0" applyFill="1" applyBorder="1"/>
    <xf numFmtId="0" fontId="0" fillId="8" borderId="11" xfId="0" applyFill="1" applyBorder="1"/>
    <xf numFmtId="0" fontId="0" fillId="0" borderId="0" xfId="0" applyFill="1" applyAlignment="1">
      <alignment wrapText="1"/>
    </xf>
    <xf numFmtId="10" fontId="0" fillId="5" borderId="0" xfId="2" applyNumberFormat="1" applyFont="1" applyFill="1"/>
    <xf numFmtId="0" fontId="0" fillId="0" borderId="0" xfId="0" applyFill="1"/>
    <xf numFmtId="0" fontId="3" fillId="0" borderId="0" xfId="0" applyFont="1" applyFill="1" applyAlignment="1">
      <alignment wrapText="1"/>
    </xf>
    <xf numFmtId="0" fontId="1" fillId="0" borderId="0" xfId="0" applyFont="1" applyAlignment="1">
      <alignment wrapText="1"/>
    </xf>
    <xf numFmtId="0" fontId="1" fillId="0" borderId="2" xfId="0" applyFont="1" applyBorder="1" applyAlignment="1">
      <alignment horizontal="left"/>
    </xf>
    <xf numFmtId="0" fontId="0" fillId="0" borderId="2" xfId="0" applyBorder="1"/>
    <xf numFmtId="0" fontId="11" fillId="0" borderId="0" xfId="3"/>
    <xf numFmtId="0" fontId="0" fillId="0" borderId="0" xfId="0" applyFont="1" applyAlignment="1">
      <alignment wrapText="1"/>
    </xf>
    <xf numFmtId="0" fontId="5" fillId="0" borderId="0" xfId="0" applyFont="1" applyFill="1" applyBorder="1" applyAlignment="1">
      <alignment wrapText="1"/>
    </xf>
    <xf numFmtId="44" fontId="0" fillId="5" borderId="0" xfId="0" applyNumberFormat="1" applyFill="1" applyBorder="1"/>
    <xf numFmtId="44" fontId="0" fillId="0" borderId="0" xfId="1" applyFont="1" applyBorder="1"/>
    <xf numFmtId="44" fontId="1" fillId="0" borderId="0" xfId="1" applyFont="1" applyFill="1" applyBorder="1"/>
    <xf numFmtId="0" fontId="0" fillId="0" borderId="0" xfId="0" applyNumberFormat="1"/>
    <xf numFmtId="0" fontId="0" fillId="0" borderId="0" xfId="0" applyNumberFormat="1" applyFont="1"/>
    <xf numFmtId="0" fontId="0" fillId="0" borderId="0" xfId="0" applyNumberFormat="1" applyBorder="1"/>
    <xf numFmtId="0" fontId="0" fillId="0" borderId="0" xfId="0" applyNumberFormat="1" applyFill="1" applyBorder="1"/>
    <xf numFmtId="0" fontId="4" fillId="0" borderId="11" xfId="0" applyFont="1" applyBorder="1"/>
  </cellXfs>
  <cellStyles count="4">
    <cellStyle name="Currency" xfId="1" builtinId="4"/>
    <cellStyle name="Hyperlink" xfId="3" builtinId="8"/>
    <cellStyle name="Normal" xfId="0" builtinId="0"/>
    <cellStyle name="Percent" xfId="2" builtinId="5"/>
  </cellStyles>
  <dxfs count="6">
    <dxf>
      <font>
        <color theme="2" tint="-0.499984740745262"/>
      </font>
      <fill>
        <patternFill>
          <bgColor theme="2" tint="-0.24994659260841701"/>
        </patternFill>
      </fill>
    </dxf>
    <dxf>
      <font>
        <b val="0"/>
        <i val="0"/>
      </font>
      <fill>
        <patternFill>
          <bgColor theme="8" tint="0.59996337778862885"/>
        </patternFill>
      </fill>
    </dxf>
    <dxf>
      <font>
        <color theme="2" tint="-0.499984740745262"/>
      </font>
      <fill>
        <patternFill>
          <bgColor theme="2" tint="-0.24994659260841701"/>
        </patternFill>
      </fill>
    </dxf>
    <dxf>
      <font>
        <color theme="2" tint="-0.499984740745262"/>
      </font>
      <fill>
        <patternFill>
          <bgColor theme="2" tint="-0.24994659260841701"/>
        </patternFill>
      </fill>
    </dxf>
    <dxf>
      <font>
        <b val="0"/>
        <i val="0"/>
      </font>
      <fill>
        <patternFill>
          <bgColor theme="8" tint="0.59996337778862885"/>
        </patternFill>
      </fill>
    </dxf>
    <dxf>
      <font>
        <color theme="2" tint="-0.499984740745262"/>
      </font>
      <fill>
        <patternFill>
          <bgColor theme="2" tint="-0.24994659260841701"/>
        </patternFill>
      </fill>
    </dxf>
  </dxfs>
  <tableStyles count="0" defaultTableStyle="TableStyleMedium2" defaultPivotStyle="PivotStyleLight16"/>
  <colors>
    <mruColors>
      <color rgb="FFF6FF00"/>
      <color rgb="FFF0001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63500</xdr:colOff>
      <xdr:row>8</xdr:row>
      <xdr:rowOff>127000</xdr:rowOff>
    </xdr:from>
    <xdr:to>
      <xdr:col>3</xdr:col>
      <xdr:colOff>241300</xdr:colOff>
      <xdr:row>10</xdr:row>
      <xdr:rowOff>63500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3098800" y="1993900"/>
          <a:ext cx="8521700" cy="342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736600</xdr:colOff>
          <xdr:row>27</xdr:row>
          <xdr:rowOff>50800</xdr:rowOff>
        </xdr:from>
        <xdr:to>
          <xdr:col>9</xdr:col>
          <xdr:colOff>647700</xdr:colOff>
          <xdr:row>29</xdr:row>
          <xdr:rowOff>63500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Add Indirect Expense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698500</xdr:colOff>
          <xdr:row>27</xdr:row>
          <xdr:rowOff>63500</xdr:rowOff>
        </xdr:from>
        <xdr:to>
          <xdr:col>12</xdr:col>
          <xdr:colOff>482600</xdr:colOff>
          <xdr:row>29</xdr:row>
          <xdr:rowOff>63500</xdr:rowOff>
        </xdr:to>
        <xdr:sp macro="" textlink="">
          <xdr:nvSpPr>
            <xdr:cNvPr id="10242" name="Button 2" descr="Delete Bottom Indirect Expense Row"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Bottom Indirect Expense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4</xdr:row>
          <xdr:rowOff>12700</xdr:rowOff>
        </xdr:from>
        <xdr:to>
          <xdr:col>3</xdr:col>
          <xdr:colOff>38100</xdr:colOff>
          <xdr:row>5</xdr:row>
          <xdr:rowOff>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1955800</xdr:colOff>
          <xdr:row>4</xdr:row>
          <xdr:rowOff>12700</xdr:rowOff>
        </xdr:from>
        <xdr:to>
          <xdr:col>1</xdr:col>
          <xdr:colOff>952500</xdr:colOff>
          <xdr:row>5</xdr:row>
          <xdr:rowOff>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736600</xdr:colOff>
          <xdr:row>27</xdr:row>
          <xdr:rowOff>50800</xdr:rowOff>
        </xdr:from>
        <xdr:to>
          <xdr:col>9</xdr:col>
          <xdr:colOff>647700</xdr:colOff>
          <xdr:row>29</xdr:row>
          <xdr:rowOff>63500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Add Indirect Expense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698500</xdr:colOff>
          <xdr:row>27</xdr:row>
          <xdr:rowOff>63500</xdr:rowOff>
        </xdr:from>
        <xdr:to>
          <xdr:col>12</xdr:col>
          <xdr:colOff>482600</xdr:colOff>
          <xdr:row>29</xdr:row>
          <xdr:rowOff>63500</xdr:rowOff>
        </xdr:to>
        <xdr:sp macro="" textlink="">
          <xdr:nvSpPr>
            <xdr:cNvPr id="5125" name="Button 5" descr="Delete Bottom Indirect Expense Row"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Bottom Indirect Expense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4</xdr:row>
          <xdr:rowOff>12700</xdr:rowOff>
        </xdr:from>
        <xdr:to>
          <xdr:col>3</xdr:col>
          <xdr:colOff>38100</xdr:colOff>
          <xdr:row>5</xdr:row>
          <xdr:rowOff>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1955800</xdr:colOff>
          <xdr:row>4</xdr:row>
          <xdr:rowOff>12700</xdr:rowOff>
        </xdr:from>
        <xdr:to>
          <xdr:col>1</xdr:col>
          <xdr:colOff>952500</xdr:colOff>
          <xdr:row>5</xdr:row>
          <xdr:rowOff>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support.microsoft.com/en-us/office/macros-in-office-files-12b036fd-d140-4e74-b45e-16fed1a7e5c6" TargetMode="External"/><Relationship Id="rId1" Type="http://schemas.openxmlformats.org/officeDocument/2006/relationships/hyperlink" Target="http://www.beneverman.com/"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3301A-3BEE-0B41-9F8E-2A86BE0EAD53}">
  <sheetPr codeName="Sheet3"/>
  <dimension ref="B2:D72"/>
  <sheetViews>
    <sheetView topLeftCell="A6" workbookViewId="0">
      <selection activeCell="A5" sqref="A5"/>
    </sheetView>
  </sheetViews>
  <sheetFormatPr baseColWidth="10" defaultRowHeight="16" x14ac:dyDescent="0.2"/>
  <cols>
    <col min="2" max="2" width="29" customWidth="1"/>
    <col min="3" max="3" width="109.5" customWidth="1"/>
    <col min="4" max="4" width="72.6640625" customWidth="1"/>
  </cols>
  <sheetData>
    <row r="2" spans="2:4" ht="51" x14ac:dyDescent="0.2">
      <c r="B2" s="1" t="s">
        <v>55</v>
      </c>
      <c r="C2" s="32" t="s">
        <v>60</v>
      </c>
    </row>
    <row r="4" spans="2:4" ht="34" x14ac:dyDescent="0.2">
      <c r="C4" s="76" t="s">
        <v>66</v>
      </c>
    </row>
    <row r="5" spans="2:4" ht="85" x14ac:dyDescent="0.2">
      <c r="C5" s="76" t="s">
        <v>147</v>
      </c>
      <c r="D5" s="74" t="s">
        <v>146</v>
      </c>
    </row>
    <row r="6" spans="2:4" x14ac:dyDescent="0.2">
      <c r="B6" s="35" t="s">
        <v>56</v>
      </c>
      <c r="C6" s="34"/>
    </row>
    <row r="7" spans="2:4" x14ac:dyDescent="0.2">
      <c r="B7" s="33" t="s">
        <v>57</v>
      </c>
      <c r="C7" s="33" t="s">
        <v>62</v>
      </c>
    </row>
    <row r="8" spans="2:4" x14ac:dyDescent="0.2">
      <c r="B8">
        <v>1.1000000000000001</v>
      </c>
      <c r="C8" t="s">
        <v>58</v>
      </c>
    </row>
    <row r="12" spans="2:4" x14ac:dyDescent="0.2">
      <c r="B12">
        <v>1.2</v>
      </c>
      <c r="C12" t="s">
        <v>142</v>
      </c>
    </row>
    <row r="13" spans="2:4" ht="34" x14ac:dyDescent="0.2">
      <c r="B13">
        <v>1.3</v>
      </c>
      <c r="C13" s="32" t="s">
        <v>143</v>
      </c>
      <c r="D13" t="s">
        <v>145</v>
      </c>
    </row>
    <row r="14" spans="2:4" ht="119" x14ac:dyDescent="0.2">
      <c r="B14">
        <v>1.4</v>
      </c>
      <c r="C14" s="32" t="s">
        <v>59</v>
      </c>
      <c r="D14" t="s">
        <v>144</v>
      </c>
    </row>
    <row r="15" spans="2:4" x14ac:dyDescent="0.2">
      <c r="B15" s="8" t="s">
        <v>61</v>
      </c>
      <c r="C15" s="8" t="s">
        <v>63</v>
      </c>
    </row>
    <row r="16" spans="2:4" x14ac:dyDescent="0.2">
      <c r="B16">
        <v>2.1</v>
      </c>
      <c r="C16" t="s">
        <v>64</v>
      </c>
    </row>
    <row r="17" spans="2:4" x14ac:dyDescent="0.2">
      <c r="B17">
        <v>2.2000000000000002</v>
      </c>
      <c r="C17" s="29" t="s">
        <v>65</v>
      </c>
      <c r="D17" t="s">
        <v>72</v>
      </c>
    </row>
    <row r="18" spans="2:4" x14ac:dyDescent="0.2">
      <c r="B18">
        <v>2.2999999999999998</v>
      </c>
      <c r="C18" s="25" t="s">
        <v>68</v>
      </c>
      <c r="D18" t="s">
        <v>70</v>
      </c>
    </row>
    <row r="19" spans="2:4" x14ac:dyDescent="0.2">
      <c r="B19">
        <v>2.4</v>
      </c>
      <c r="C19" s="36" t="s">
        <v>67</v>
      </c>
      <c r="D19" t="s">
        <v>71</v>
      </c>
    </row>
    <row r="20" spans="2:4" x14ac:dyDescent="0.2">
      <c r="B20" s="8" t="s">
        <v>69</v>
      </c>
      <c r="C20" s="8" t="s">
        <v>73</v>
      </c>
    </row>
    <row r="21" spans="2:4" x14ac:dyDescent="0.2">
      <c r="B21">
        <v>3.1</v>
      </c>
      <c r="C21" t="s">
        <v>75</v>
      </c>
    </row>
    <row r="22" spans="2:4" ht="34" x14ac:dyDescent="0.2">
      <c r="B22">
        <v>3.2</v>
      </c>
      <c r="C22" s="32" t="s">
        <v>86</v>
      </c>
      <c r="D22" s="31" t="s">
        <v>85</v>
      </c>
    </row>
    <row r="23" spans="2:4" x14ac:dyDescent="0.2">
      <c r="B23">
        <v>3.3</v>
      </c>
      <c r="C23" s="37" t="s">
        <v>77</v>
      </c>
    </row>
    <row r="24" spans="2:4" x14ac:dyDescent="0.2">
      <c r="C24" t="s">
        <v>76</v>
      </c>
    </row>
    <row r="25" spans="2:4" x14ac:dyDescent="0.2">
      <c r="C25" s="1" t="s">
        <v>5</v>
      </c>
    </row>
    <row r="26" spans="2:4" x14ac:dyDescent="0.2">
      <c r="C26" s="29" t="s">
        <v>4</v>
      </c>
    </row>
    <row r="27" spans="2:4" x14ac:dyDescent="0.2">
      <c r="C27" s="1" t="s">
        <v>96</v>
      </c>
    </row>
    <row r="28" spans="2:4" x14ac:dyDescent="0.2">
      <c r="C28" s="29" t="s">
        <v>6</v>
      </c>
    </row>
    <row r="29" spans="2:4" ht="34" x14ac:dyDescent="0.2">
      <c r="C29" s="29" t="s">
        <v>97</v>
      </c>
      <c r="D29" s="32" t="s">
        <v>98</v>
      </c>
    </row>
    <row r="30" spans="2:4" x14ac:dyDescent="0.2">
      <c r="C30" s="1" t="s">
        <v>8</v>
      </c>
    </row>
    <row r="31" spans="2:4" x14ac:dyDescent="0.2">
      <c r="C31" s="29" t="s">
        <v>9</v>
      </c>
    </row>
    <row r="32" spans="2:4" x14ac:dyDescent="0.2">
      <c r="C32" s="38" t="s">
        <v>19</v>
      </c>
    </row>
    <row r="33" spans="2:4" x14ac:dyDescent="0.2">
      <c r="C33" s="29" t="s">
        <v>18</v>
      </c>
    </row>
    <row r="34" spans="2:4" x14ac:dyDescent="0.2">
      <c r="C34" s="38" t="s">
        <v>20</v>
      </c>
    </row>
    <row r="35" spans="2:4" x14ac:dyDescent="0.2">
      <c r="C35" s="38" t="s">
        <v>43</v>
      </c>
      <c r="D35" t="s">
        <v>78</v>
      </c>
    </row>
    <row r="36" spans="2:4" ht="85" x14ac:dyDescent="0.2">
      <c r="C36" s="40" t="s">
        <v>113</v>
      </c>
    </row>
    <row r="37" spans="2:4" x14ac:dyDescent="0.2">
      <c r="B37">
        <v>3.4</v>
      </c>
      <c r="C37" s="39" t="s">
        <v>79</v>
      </c>
    </row>
    <row r="38" spans="2:4" ht="17" x14ac:dyDescent="0.2">
      <c r="B38" s="42" t="s">
        <v>82</v>
      </c>
      <c r="C38" s="40" t="s">
        <v>84</v>
      </c>
    </row>
    <row r="39" spans="2:4" ht="68" x14ac:dyDescent="0.2">
      <c r="B39" s="42" t="s">
        <v>83</v>
      </c>
      <c r="C39" s="32" t="s">
        <v>80</v>
      </c>
      <c r="D39" s="41" t="s">
        <v>81</v>
      </c>
    </row>
    <row r="40" spans="2:4" ht="17" x14ac:dyDescent="0.2">
      <c r="B40">
        <v>3.5</v>
      </c>
      <c r="C40" s="32" t="s">
        <v>87</v>
      </c>
    </row>
    <row r="41" spans="2:4" ht="51" x14ac:dyDescent="0.2">
      <c r="B41" s="42" t="s">
        <v>90</v>
      </c>
      <c r="C41" s="32" t="s">
        <v>91</v>
      </c>
    </row>
    <row r="42" spans="2:4" ht="102" x14ac:dyDescent="0.2">
      <c r="B42" s="42" t="s">
        <v>89</v>
      </c>
      <c r="C42" s="32" t="s">
        <v>94</v>
      </c>
      <c r="D42" s="31"/>
    </row>
    <row r="43" spans="2:4" ht="68" x14ac:dyDescent="0.2">
      <c r="B43" s="42" t="s">
        <v>92</v>
      </c>
      <c r="C43" s="32" t="s">
        <v>93</v>
      </c>
      <c r="D43" s="32" t="s">
        <v>95</v>
      </c>
    </row>
    <row r="44" spans="2:4" ht="34" x14ac:dyDescent="0.2">
      <c r="B44">
        <v>3.6</v>
      </c>
      <c r="C44" s="32" t="s">
        <v>99</v>
      </c>
    </row>
    <row r="45" spans="2:4" ht="17" x14ac:dyDescent="0.2">
      <c r="B45" s="8" t="s">
        <v>100</v>
      </c>
      <c r="C45" s="44" t="s">
        <v>101</v>
      </c>
    </row>
    <row r="46" spans="2:4" ht="51" x14ac:dyDescent="0.2">
      <c r="B46">
        <v>4.0999999999999996</v>
      </c>
      <c r="C46" s="32" t="s">
        <v>102</v>
      </c>
      <c r="D46" s="32" t="s">
        <v>107</v>
      </c>
    </row>
    <row r="47" spans="2:4" ht="34" x14ac:dyDescent="0.2">
      <c r="B47">
        <v>4.2</v>
      </c>
      <c r="C47" s="32" t="s">
        <v>103</v>
      </c>
      <c r="D47" s="31" t="s">
        <v>85</v>
      </c>
    </row>
    <row r="48" spans="2:4" x14ac:dyDescent="0.2">
      <c r="B48">
        <v>4.3</v>
      </c>
      <c r="C48" s="37" t="s">
        <v>77</v>
      </c>
    </row>
    <row r="49" spans="2:4" x14ac:dyDescent="0.2">
      <c r="C49" s="1" t="s">
        <v>46</v>
      </c>
    </row>
    <row r="50" spans="2:4" ht="34" x14ac:dyDescent="0.2">
      <c r="C50" s="29" t="s">
        <v>26</v>
      </c>
      <c r="D50" s="32" t="s">
        <v>115</v>
      </c>
    </row>
    <row r="51" spans="2:4" x14ac:dyDescent="0.2">
      <c r="C51" s="1" t="s">
        <v>49</v>
      </c>
    </row>
    <row r="52" spans="2:4" x14ac:dyDescent="0.2">
      <c r="C52" s="29" t="s">
        <v>26</v>
      </c>
      <c r="D52" t="s">
        <v>116</v>
      </c>
    </row>
    <row r="53" spans="2:4" x14ac:dyDescent="0.2">
      <c r="C53" s="29" t="s">
        <v>30</v>
      </c>
      <c r="D53" t="s">
        <v>117</v>
      </c>
    </row>
    <row r="54" spans="2:4" x14ac:dyDescent="0.2">
      <c r="C54" s="29" t="s">
        <v>108</v>
      </c>
      <c r="D54" t="s">
        <v>118</v>
      </c>
    </row>
    <row r="55" spans="2:4" x14ac:dyDescent="0.2">
      <c r="C55" s="1" t="s">
        <v>48</v>
      </c>
    </row>
    <row r="56" spans="2:4" x14ac:dyDescent="0.2">
      <c r="C56" s="29" t="s">
        <v>38</v>
      </c>
      <c r="D56" t="s">
        <v>119</v>
      </c>
    </row>
    <row r="57" spans="2:4" x14ac:dyDescent="0.2">
      <c r="C57" s="29" t="s">
        <v>121</v>
      </c>
      <c r="D57" t="s">
        <v>122</v>
      </c>
    </row>
    <row r="58" spans="2:4" x14ac:dyDescent="0.2">
      <c r="C58" s="1" t="s">
        <v>29</v>
      </c>
    </row>
    <row r="59" spans="2:4" x14ac:dyDescent="0.2">
      <c r="C59" s="29" t="s">
        <v>35</v>
      </c>
      <c r="D59" t="s">
        <v>120</v>
      </c>
    </row>
    <row r="60" spans="2:4" ht="34" x14ac:dyDescent="0.2">
      <c r="C60" s="67" t="s">
        <v>114</v>
      </c>
    </row>
    <row r="61" spans="2:4" ht="34" x14ac:dyDescent="0.2">
      <c r="C61" s="70" t="s">
        <v>130</v>
      </c>
    </row>
    <row r="62" spans="2:4" x14ac:dyDescent="0.2">
      <c r="B62">
        <v>4.4000000000000004</v>
      </c>
      <c r="C62" s="69" t="s">
        <v>123</v>
      </c>
    </row>
    <row r="63" spans="2:4" ht="34" x14ac:dyDescent="0.2">
      <c r="B63" s="42" t="s">
        <v>39</v>
      </c>
      <c r="C63" s="67" t="s">
        <v>125</v>
      </c>
    </row>
    <row r="64" spans="2:4" x14ac:dyDescent="0.2">
      <c r="B64" s="42" t="s">
        <v>124</v>
      </c>
      <c r="C64" t="s">
        <v>126</v>
      </c>
    </row>
    <row r="65" spans="2:4" x14ac:dyDescent="0.2">
      <c r="B65">
        <v>4.5</v>
      </c>
      <c r="C65" t="s">
        <v>127</v>
      </c>
    </row>
    <row r="66" spans="2:4" ht="68" x14ac:dyDescent="0.2">
      <c r="B66" s="42" t="s">
        <v>132</v>
      </c>
      <c r="C66" s="32" t="s">
        <v>131</v>
      </c>
    </row>
    <row r="67" spans="2:4" x14ac:dyDescent="0.2">
      <c r="B67" s="42" t="s">
        <v>133</v>
      </c>
      <c r="C67" t="s">
        <v>134</v>
      </c>
    </row>
    <row r="68" spans="2:4" ht="34" x14ac:dyDescent="0.2">
      <c r="C68" s="71" t="s">
        <v>135</v>
      </c>
    </row>
    <row r="69" spans="2:4" ht="34" x14ac:dyDescent="0.2">
      <c r="C69" s="71" t="s">
        <v>136</v>
      </c>
    </row>
    <row r="70" spans="2:4" ht="51" x14ac:dyDescent="0.2">
      <c r="C70" s="71" t="s">
        <v>137</v>
      </c>
    </row>
    <row r="71" spans="2:4" x14ac:dyDescent="0.2">
      <c r="B71" s="72" t="s">
        <v>138</v>
      </c>
      <c r="C71" s="73" t="s">
        <v>141</v>
      </c>
    </row>
    <row r="72" spans="2:4" ht="34" x14ac:dyDescent="0.2">
      <c r="C72" s="75" t="s">
        <v>140</v>
      </c>
      <c r="D72" s="74" t="s">
        <v>139</v>
      </c>
    </row>
  </sheetData>
  <hyperlinks>
    <hyperlink ref="D72" r:id="rId1" xr:uid="{7B8F7F04-3CEA-C048-AC24-D6769D8F77DE}"/>
    <hyperlink ref="D5" r:id="rId2" xr:uid="{B2241E0D-FB1C-5A45-B030-450D13F44E1F}"/>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B7457-3CD1-4544-8483-DE1B334DCAAD}">
  <sheetPr codeName="Sheet6"/>
  <dimension ref="A2:W43"/>
  <sheetViews>
    <sheetView tabSelected="1" zoomScaleNormal="100" workbookViewId="0">
      <selection activeCell="B15" sqref="B15"/>
    </sheetView>
  </sheetViews>
  <sheetFormatPr baseColWidth="10" defaultRowHeight="16" x14ac:dyDescent="0.2"/>
  <cols>
    <col min="1" max="1" width="26" bestFit="1" customWidth="1"/>
    <col min="2" max="2" width="12.6640625" bestFit="1" customWidth="1"/>
    <col min="3" max="4" width="12.5" bestFit="1" customWidth="1"/>
    <col min="5" max="5" width="13.33203125" hidden="1" customWidth="1"/>
    <col min="6" max="6" width="12.5" bestFit="1" customWidth="1"/>
    <col min="7" max="7" width="12.6640625" bestFit="1" customWidth="1"/>
    <col min="8" max="8" width="11.5" bestFit="1" customWidth="1"/>
    <col min="9" max="9" width="12.5" bestFit="1" customWidth="1"/>
    <col min="10" max="10" width="12.5" hidden="1" customWidth="1"/>
    <col min="11" max="12" width="12.5" bestFit="1" customWidth="1"/>
    <col min="14" max="14" width="11.5" bestFit="1" customWidth="1"/>
    <col min="15" max="15" width="13.83203125" customWidth="1"/>
    <col min="16" max="16" width="12.6640625" hidden="1" customWidth="1"/>
    <col min="17" max="17" width="12.5" bestFit="1" customWidth="1"/>
    <col min="18" max="20" width="11.5" bestFit="1" customWidth="1"/>
    <col min="21" max="21" width="12.5" hidden="1" customWidth="1"/>
    <col min="22" max="22" width="11.5" bestFit="1" customWidth="1"/>
    <col min="23" max="23" width="12.5" bestFit="1" customWidth="1"/>
  </cols>
  <sheetData>
    <row r="2" spans="1:23" x14ac:dyDescent="0.2">
      <c r="A2" s="45" t="s">
        <v>74</v>
      </c>
      <c r="B2" s="46"/>
      <c r="C2" s="46"/>
      <c r="D2" s="46"/>
      <c r="E2" s="46"/>
      <c r="F2" s="46"/>
      <c r="G2" s="46"/>
      <c r="H2" s="46"/>
      <c r="I2" s="46"/>
      <c r="J2" s="46"/>
      <c r="K2" s="46"/>
      <c r="L2" s="46"/>
      <c r="M2" s="47"/>
      <c r="N2" s="57">
        <f>IF(B4="2 Year",1,0)</f>
        <v>0</v>
      </c>
    </row>
    <row r="3" spans="1:23" x14ac:dyDescent="0.2">
      <c r="A3" s="53"/>
      <c r="B3" s="48"/>
      <c r="C3" s="48"/>
      <c r="D3" s="48"/>
      <c r="E3" s="48"/>
      <c r="F3" s="48"/>
      <c r="G3" s="48"/>
      <c r="H3" s="48"/>
      <c r="I3" s="48"/>
      <c r="J3" s="48"/>
      <c r="K3" s="48"/>
      <c r="L3" s="48"/>
      <c r="M3" s="49"/>
    </row>
    <row r="4" spans="1:23" x14ac:dyDescent="0.2">
      <c r="A4" s="54" t="s">
        <v>105</v>
      </c>
      <c r="B4" s="56" t="s">
        <v>150</v>
      </c>
      <c r="C4" s="51" t="s">
        <v>106</v>
      </c>
      <c r="D4" s="51"/>
      <c r="E4" s="51"/>
      <c r="F4" s="51"/>
      <c r="G4" s="51"/>
      <c r="H4" s="51"/>
      <c r="I4" s="51"/>
      <c r="J4" s="51"/>
      <c r="K4" s="51"/>
      <c r="L4" s="51"/>
      <c r="M4" s="52"/>
    </row>
    <row r="5" spans="1:23" x14ac:dyDescent="0.2">
      <c r="A5" s="9" t="s">
        <v>158</v>
      </c>
      <c r="B5" s="48"/>
      <c r="C5" s="48"/>
      <c r="D5" s="48"/>
      <c r="E5" s="48"/>
      <c r="F5" s="48"/>
      <c r="G5" s="48"/>
      <c r="H5" s="48"/>
      <c r="I5" s="48"/>
      <c r="J5" s="48"/>
      <c r="K5" s="48"/>
      <c r="L5" s="48"/>
      <c r="M5" s="48"/>
    </row>
    <row r="6" spans="1:23" x14ac:dyDescent="0.2">
      <c r="A6" s="1"/>
    </row>
    <row r="7" spans="1:23" x14ac:dyDescent="0.2">
      <c r="C7" s="1" t="s">
        <v>0</v>
      </c>
      <c r="D7" s="1" t="s">
        <v>1</v>
      </c>
      <c r="E7" s="1" t="s">
        <v>148</v>
      </c>
      <c r="F7" s="1" t="s">
        <v>13</v>
      </c>
      <c r="G7" s="1"/>
      <c r="H7" s="1" t="s">
        <v>2</v>
      </c>
      <c r="I7" s="1" t="s">
        <v>3</v>
      </c>
      <c r="J7" s="1" t="s">
        <v>149</v>
      </c>
      <c r="K7" s="1" t="s">
        <v>13</v>
      </c>
      <c r="L7" s="1" t="s">
        <v>14</v>
      </c>
      <c r="N7" s="1" t="s">
        <v>15</v>
      </c>
      <c r="O7" s="1" t="s">
        <v>16</v>
      </c>
      <c r="P7" s="1" t="s">
        <v>151</v>
      </c>
      <c r="Q7" s="1" t="s">
        <v>13</v>
      </c>
      <c r="S7" s="1" t="s">
        <v>40</v>
      </c>
      <c r="T7" s="1" t="s">
        <v>41</v>
      </c>
      <c r="U7" s="1" t="s">
        <v>152</v>
      </c>
      <c r="V7" s="1" t="s">
        <v>13</v>
      </c>
      <c r="W7" s="1" t="s">
        <v>42</v>
      </c>
    </row>
    <row r="8" spans="1:23" x14ac:dyDescent="0.2">
      <c r="A8" s="1" t="s">
        <v>5</v>
      </c>
      <c r="B8" s="1"/>
    </row>
    <row r="9" spans="1:23" x14ac:dyDescent="0.2">
      <c r="A9" t="s">
        <v>4</v>
      </c>
      <c r="C9" s="10">
        <v>20000</v>
      </c>
      <c r="D9" s="10">
        <v>0</v>
      </c>
      <c r="E9" s="10">
        <v>0</v>
      </c>
      <c r="F9" s="11">
        <f>SUM(C9:E9)</f>
        <v>20000</v>
      </c>
      <c r="G9" s="2"/>
      <c r="H9" s="10">
        <v>0</v>
      </c>
      <c r="I9" s="10">
        <v>0</v>
      </c>
      <c r="J9" s="10">
        <v>0</v>
      </c>
      <c r="K9" s="11">
        <f>SUM(H9:J9)</f>
        <v>0</v>
      </c>
      <c r="L9" s="12">
        <f>F9+K9</f>
        <v>20000</v>
      </c>
      <c r="N9" s="10">
        <v>0</v>
      </c>
      <c r="O9" s="10">
        <v>0</v>
      </c>
      <c r="P9" s="10">
        <v>0</v>
      </c>
      <c r="Q9" s="11">
        <f>SUM(N9:P9)</f>
        <v>0</v>
      </c>
      <c r="S9" s="10">
        <v>0</v>
      </c>
      <c r="T9" s="10">
        <v>0</v>
      </c>
      <c r="U9" s="10">
        <v>0</v>
      </c>
      <c r="V9" s="11">
        <f>SUM(S9:U9)</f>
        <v>0</v>
      </c>
      <c r="W9" s="77">
        <f>V9+Q9+L9</f>
        <v>20000</v>
      </c>
    </row>
    <row r="10" spans="1:23" x14ac:dyDescent="0.2">
      <c r="A10" s="1" t="s">
        <v>96</v>
      </c>
    </row>
    <row r="11" spans="1:23" x14ac:dyDescent="0.2">
      <c r="A11" t="s">
        <v>6</v>
      </c>
      <c r="C11" s="10">
        <v>12000</v>
      </c>
      <c r="D11" s="10">
        <v>0</v>
      </c>
      <c r="E11" s="10">
        <v>0</v>
      </c>
      <c r="F11" s="11">
        <f>SUM(C11:E11)</f>
        <v>12000</v>
      </c>
      <c r="G11" s="2"/>
      <c r="H11" s="10">
        <v>0</v>
      </c>
      <c r="I11" s="10">
        <v>0</v>
      </c>
      <c r="J11" s="10">
        <v>0</v>
      </c>
      <c r="K11" s="11">
        <f>SUM(H11:J11)</f>
        <v>0</v>
      </c>
      <c r="L11" s="11">
        <f>F11+K11</f>
        <v>12000</v>
      </c>
      <c r="N11" s="10">
        <v>0</v>
      </c>
      <c r="O11" s="10">
        <v>0</v>
      </c>
      <c r="P11" s="10">
        <v>0</v>
      </c>
      <c r="Q11" s="11">
        <f>SUM(N11:P11)</f>
        <v>0</v>
      </c>
      <c r="S11" s="10">
        <v>0</v>
      </c>
      <c r="T11" s="10">
        <v>0</v>
      </c>
      <c r="U11" s="10">
        <v>0</v>
      </c>
      <c r="V11" s="11">
        <f>SUM(S11:U11)</f>
        <v>0</v>
      </c>
      <c r="W11" s="77">
        <f>V11+Q11+L11</f>
        <v>12000</v>
      </c>
    </row>
    <row r="12" spans="1:23" x14ac:dyDescent="0.2">
      <c r="A12" t="s">
        <v>97</v>
      </c>
      <c r="C12" s="10">
        <v>0</v>
      </c>
      <c r="D12" s="10">
        <v>0</v>
      </c>
      <c r="E12" s="10">
        <v>0</v>
      </c>
      <c r="F12" s="11">
        <f>SUM(C12:E12)</f>
        <v>0</v>
      </c>
      <c r="G12" s="2"/>
      <c r="H12" s="10">
        <v>0</v>
      </c>
      <c r="I12" s="10">
        <v>0</v>
      </c>
      <c r="J12" s="10">
        <v>0</v>
      </c>
      <c r="K12" s="11">
        <f>SUM(H12:J12)</f>
        <v>0</v>
      </c>
      <c r="L12" s="11">
        <f>F12+K12</f>
        <v>0</v>
      </c>
      <c r="N12" s="10">
        <v>0</v>
      </c>
      <c r="O12" s="10">
        <v>0</v>
      </c>
      <c r="P12" s="10">
        <v>0</v>
      </c>
      <c r="Q12" s="11">
        <f>SUM(N12:P12)</f>
        <v>0</v>
      </c>
      <c r="S12" s="10">
        <v>0</v>
      </c>
      <c r="T12" s="10">
        <v>0</v>
      </c>
      <c r="U12" s="10">
        <v>0</v>
      </c>
      <c r="V12" s="11">
        <f>SUM(S12:U12)</f>
        <v>0</v>
      </c>
      <c r="W12" s="77">
        <f>V12+Q12+L12</f>
        <v>0</v>
      </c>
    </row>
    <row r="14" spans="1:23" x14ac:dyDescent="0.2">
      <c r="A14" s="1" t="s">
        <v>7</v>
      </c>
      <c r="B14" s="1"/>
      <c r="C14" s="13">
        <f>C9-(C11+C12)</f>
        <v>8000</v>
      </c>
      <c r="D14" s="13">
        <f>D9-(D11+D12)</f>
        <v>0</v>
      </c>
      <c r="E14" s="13">
        <f>E9-(E11+E12)</f>
        <v>0</v>
      </c>
      <c r="F14" s="13">
        <f>F9-(F11+F12)</f>
        <v>8000</v>
      </c>
      <c r="H14" s="13">
        <f>H9-(H11+H12)</f>
        <v>0</v>
      </c>
      <c r="I14" s="13">
        <f>I9-(I11+I12)</f>
        <v>0</v>
      </c>
      <c r="J14" s="13">
        <f>J9-(J11+J12)</f>
        <v>0</v>
      </c>
      <c r="K14" s="13">
        <f>K9-(K11+K12)</f>
        <v>0</v>
      </c>
      <c r="L14" s="13">
        <f>L9-(L11+L12)</f>
        <v>8000</v>
      </c>
      <c r="N14" s="13">
        <f>N9-(N11+N12)</f>
        <v>0</v>
      </c>
      <c r="O14" s="13">
        <f>O9-(O11+O12)</f>
        <v>0</v>
      </c>
      <c r="P14" s="13">
        <f>P9-(P11+P12)</f>
        <v>0</v>
      </c>
      <c r="Q14" s="13">
        <f>Q9-(Q11+Q12)</f>
        <v>0</v>
      </c>
      <c r="S14" s="13">
        <f>S9-(S11+S12)</f>
        <v>0</v>
      </c>
      <c r="T14" s="13">
        <f>T9-(T11+T12)</f>
        <v>0</v>
      </c>
      <c r="U14" s="13">
        <f>U9-(U11+U12)</f>
        <v>0</v>
      </c>
      <c r="V14" s="13">
        <f>V9-(V11+V12)</f>
        <v>0</v>
      </c>
      <c r="W14" s="13">
        <f>V14+Q14+L14</f>
        <v>8000</v>
      </c>
    </row>
    <row r="16" spans="1:23" x14ac:dyDescent="0.2">
      <c r="A16" s="1" t="s">
        <v>8</v>
      </c>
      <c r="B16" s="1"/>
    </row>
    <row r="17" spans="1:23" x14ac:dyDescent="0.2">
      <c r="A17" t="s">
        <v>9</v>
      </c>
      <c r="C17" s="22">
        <v>0</v>
      </c>
      <c r="D17" s="22">
        <v>0</v>
      </c>
      <c r="E17" s="22">
        <v>0</v>
      </c>
      <c r="F17" s="11">
        <f>SUM(C17:E17)</f>
        <v>0</v>
      </c>
      <c r="G17" s="2"/>
      <c r="H17" s="22">
        <v>0</v>
      </c>
      <c r="I17" s="22">
        <v>0</v>
      </c>
      <c r="J17" s="22">
        <v>0</v>
      </c>
      <c r="K17" s="11">
        <f>SUM(H17:J17)</f>
        <v>0</v>
      </c>
      <c r="L17" s="11">
        <f>K17+F17</f>
        <v>0</v>
      </c>
      <c r="M17" s="2"/>
      <c r="N17" s="22">
        <v>0</v>
      </c>
      <c r="O17" s="22">
        <v>0</v>
      </c>
      <c r="P17" s="22">
        <v>0</v>
      </c>
      <c r="Q17" s="11">
        <f>SUM(N17:P17)</f>
        <v>0</v>
      </c>
      <c r="S17" s="22">
        <v>0</v>
      </c>
      <c r="T17" s="22">
        <v>0</v>
      </c>
      <c r="U17" s="22">
        <v>0</v>
      </c>
      <c r="V17" s="11">
        <f>SUM(S17:U17)</f>
        <v>0</v>
      </c>
      <c r="W17" s="77">
        <f>V17+Q17+L17</f>
        <v>0</v>
      </c>
    </row>
    <row r="18" spans="1:23" x14ac:dyDescent="0.2">
      <c r="A18" s="3" t="s">
        <v>19</v>
      </c>
      <c r="B18" s="3"/>
      <c r="C18" s="14">
        <v>0</v>
      </c>
      <c r="D18" s="14">
        <v>0</v>
      </c>
      <c r="E18" s="14">
        <v>0</v>
      </c>
      <c r="F18" s="11">
        <f t="shared" ref="F18:F21" si="0">SUM(C18:E18)</f>
        <v>0</v>
      </c>
      <c r="G18" s="2"/>
      <c r="H18" s="14">
        <v>0</v>
      </c>
      <c r="I18" s="14">
        <v>0</v>
      </c>
      <c r="J18" s="14">
        <v>0</v>
      </c>
      <c r="K18" s="11">
        <f t="shared" ref="K18:K21" si="1">SUM(H18:J18)</f>
        <v>0</v>
      </c>
      <c r="L18" s="12">
        <f t="shared" ref="L18:L20" si="2">F18+K18</f>
        <v>0</v>
      </c>
      <c r="N18" s="14">
        <v>0</v>
      </c>
      <c r="O18" s="14">
        <v>0</v>
      </c>
      <c r="P18" s="14">
        <v>0</v>
      </c>
      <c r="Q18" s="11">
        <f t="shared" ref="Q18:Q21" si="3">SUM(N18:P18)</f>
        <v>0</v>
      </c>
      <c r="S18" s="14">
        <v>0</v>
      </c>
      <c r="T18" s="14">
        <v>0</v>
      </c>
      <c r="U18" s="14">
        <v>0</v>
      </c>
      <c r="V18" s="11">
        <f t="shared" ref="V18:V21" si="4">SUM(S18:U18)</f>
        <v>0</v>
      </c>
      <c r="W18" s="77">
        <f>V18+Q18+L18</f>
        <v>0</v>
      </c>
    </row>
    <row r="19" spans="1:23" x14ac:dyDescent="0.2">
      <c r="A19" t="s">
        <v>18</v>
      </c>
      <c r="C19" s="14">
        <v>0</v>
      </c>
      <c r="D19" s="14">
        <v>0</v>
      </c>
      <c r="E19" s="14">
        <v>0</v>
      </c>
      <c r="F19" s="11">
        <f t="shared" si="0"/>
        <v>0</v>
      </c>
      <c r="G19" s="2"/>
      <c r="H19" s="14">
        <v>0</v>
      </c>
      <c r="I19" s="14">
        <v>0</v>
      </c>
      <c r="J19" s="14">
        <v>0</v>
      </c>
      <c r="K19" s="11">
        <f t="shared" si="1"/>
        <v>0</v>
      </c>
      <c r="L19" s="12">
        <f t="shared" si="2"/>
        <v>0</v>
      </c>
      <c r="N19" s="14">
        <v>0</v>
      </c>
      <c r="O19" s="14">
        <v>0</v>
      </c>
      <c r="P19" s="14">
        <v>0</v>
      </c>
      <c r="Q19" s="11">
        <f t="shared" si="3"/>
        <v>0</v>
      </c>
      <c r="S19" s="14">
        <v>0</v>
      </c>
      <c r="T19" s="14">
        <v>0</v>
      </c>
      <c r="U19" s="14">
        <v>0</v>
      </c>
      <c r="V19" s="11">
        <f t="shared" si="4"/>
        <v>0</v>
      </c>
      <c r="W19" s="77">
        <f>V19+Q19+L19</f>
        <v>0</v>
      </c>
    </row>
    <row r="20" spans="1:23" x14ac:dyDescent="0.2">
      <c r="A20" s="3" t="s">
        <v>20</v>
      </c>
      <c r="B20" s="3"/>
      <c r="C20" s="14">
        <v>0</v>
      </c>
      <c r="D20" s="14">
        <v>0</v>
      </c>
      <c r="E20" s="14">
        <v>0</v>
      </c>
      <c r="F20" s="11">
        <f t="shared" si="0"/>
        <v>0</v>
      </c>
      <c r="G20" s="2"/>
      <c r="H20" s="14">
        <v>0</v>
      </c>
      <c r="I20" s="14">
        <v>0</v>
      </c>
      <c r="J20" s="14">
        <v>0</v>
      </c>
      <c r="K20" s="11">
        <f t="shared" si="1"/>
        <v>0</v>
      </c>
      <c r="L20" s="12">
        <f t="shared" si="2"/>
        <v>0</v>
      </c>
      <c r="N20" s="14">
        <v>0</v>
      </c>
      <c r="O20" s="14">
        <v>0</v>
      </c>
      <c r="P20" s="14">
        <v>0</v>
      </c>
      <c r="Q20" s="11">
        <f t="shared" si="3"/>
        <v>0</v>
      </c>
      <c r="S20" s="14">
        <v>0</v>
      </c>
      <c r="T20" s="14">
        <v>0</v>
      </c>
      <c r="U20" s="14">
        <v>0</v>
      </c>
      <c r="V20" s="11">
        <f t="shared" si="4"/>
        <v>0</v>
      </c>
      <c r="W20" s="77">
        <f>V20+Q20+L20</f>
        <v>0</v>
      </c>
    </row>
    <row r="21" spans="1:23" x14ac:dyDescent="0.2">
      <c r="A21" s="3" t="s">
        <v>104</v>
      </c>
      <c r="B21" s="3"/>
      <c r="C21" s="22">
        <v>0</v>
      </c>
      <c r="D21" s="22">
        <v>0</v>
      </c>
      <c r="E21" s="22">
        <v>0</v>
      </c>
      <c r="F21" s="11">
        <f t="shared" si="0"/>
        <v>0</v>
      </c>
      <c r="G21" s="2"/>
      <c r="H21" s="22">
        <v>0</v>
      </c>
      <c r="I21" s="22">
        <v>0</v>
      </c>
      <c r="J21" s="22">
        <v>0</v>
      </c>
      <c r="K21" s="11">
        <f t="shared" si="1"/>
        <v>0</v>
      </c>
      <c r="L21" s="11">
        <f>K21+F21</f>
        <v>0</v>
      </c>
      <c r="M21" s="2"/>
      <c r="N21" s="22">
        <v>0</v>
      </c>
      <c r="O21" s="22">
        <v>0</v>
      </c>
      <c r="P21" s="22">
        <v>0</v>
      </c>
      <c r="Q21" s="11">
        <f t="shared" si="3"/>
        <v>0</v>
      </c>
      <c r="S21" s="22">
        <v>0</v>
      </c>
      <c r="T21" s="22">
        <v>0</v>
      </c>
      <c r="U21" s="22">
        <v>0</v>
      </c>
      <c r="V21" s="11">
        <f t="shared" si="4"/>
        <v>0</v>
      </c>
      <c r="W21" s="77">
        <f>V21+Q21+L21</f>
        <v>0</v>
      </c>
    </row>
    <row r="22" spans="1:23" x14ac:dyDescent="0.2">
      <c r="A22" s="1"/>
      <c r="B22" s="1"/>
      <c r="C22" s="2"/>
      <c r="D22" s="2"/>
      <c r="E22" s="2"/>
      <c r="F22" s="2"/>
      <c r="G22" s="2"/>
      <c r="H22" s="2"/>
      <c r="I22" s="2"/>
      <c r="J22" s="2"/>
      <c r="K22" s="2"/>
      <c r="N22" s="2"/>
      <c r="O22" s="2"/>
      <c r="P22" s="2"/>
      <c r="Q22" s="2"/>
      <c r="S22" s="2"/>
      <c r="T22" s="2"/>
      <c r="U22" s="2"/>
      <c r="V22" s="2"/>
      <c r="W22" s="48"/>
    </row>
    <row r="23" spans="1:23" x14ac:dyDescent="0.2">
      <c r="A23" s="1" t="s">
        <v>10</v>
      </c>
      <c r="B23" s="1"/>
      <c r="C23" s="15">
        <f>SUM(C17:C21)</f>
        <v>0</v>
      </c>
      <c r="D23" s="15">
        <f>SUM(D17:D21)</f>
        <v>0</v>
      </c>
      <c r="E23" s="15">
        <f>SUM(E17:E21)</f>
        <v>0</v>
      </c>
      <c r="F23" s="15">
        <f>SUM(F17:F21)</f>
        <v>0</v>
      </c>
      <c r="G23" s="78"/>
      <c r="H23" s="15">
        <f>SUM(H17:H21)</f>
        <v>0</v>
      </c>
      <c r="I23" s="15">
        <f>SUM(I17:I21)</f>
        <v>0</v>
      </c>
      <c r="J23" s="15">
        <f>SUM(J17:J21)</f>
        <v>0</v>
      </c>
      <c r="K23" s="15">
        <f>SUM(K17:K21)</f>
        <v>0</v>
      </c>
      <c r="L23" s="15">
        <f>SUM(L17:L21)</f>
        <v>0</v>
      </c>
      <c r="N23" s="15">
        <f>SUM(N17:N21)</f>
        <v>0</v>
      </c>
      <c r="O23" s="15">
        <f>SUM(O17:O21)</f>
        <v>0</v>
      </c>
      <c r="P23" s="15">
        <f>SUM(P17:P21)</f>
        <v>0</v>
      </c>
      <c r="Q23" s="15">
        <f>SUM(Q17:Q21)</f>
        <v>0</v>
      </c>
      <c r="S23" s="15">
        <f>SUM(S17:S21)</f>
        <v>0</v>
      </c>
      <c r="T23" s="15">
        <f>SUM(T17:T21)</f>
        <v>0</v>
      </c>
      <c r="U23" s="15">
        <f>SUM(U17:U21)</f>
        <v>0</v>
      </c>
      <c r="V23" s="15">
        <f>SUM(V17:V21)</f>
        <v>0</v>
      </c>
      <c r="W23" s="13">
        <f>V23+Q23+L23</f>
        <v>0</v>
      </c>
    </row>
    <row r="24" spans="1:23" x14ac:dyDescent="0.2">
      <c r="G24" s="48"/>
    </row>
    <row r="25" spans="1:23" x14ac:dyDescent="0.2">
      <c r="A25" s="1" t="s">
        <v>11</v>
      </c>
      <c r="B25" s="1"/>
      <c r="C25" s="16">
        <f>C14+C23</f>
        <v>8000</v>
      </c>
      <c r="D25" s="16">
        <f>D14+D23</f>
        <v>0</v>
      </c>
      <c r="E25" s="16">
        <f>E14+E23</f>
        <v>0</v>
      </c>
      <c r="F25" s="16">
        <f>F14+F23</f>
        <v>8000</v>
      </c>
      <c r="G25" s="6"/>
      <c r="H25" s="16">
        <f>H14+H23</f>
        <v>0</v>
      </c>
      <c r="I25" s="16">
        <f>I14+I23</f>
        <v>0</v>
      </c>
      <c r="J25" s="16">
        <f>J14+J23</f>
        <v>0</v>
      </c>
      <c r="K25" s="16">
        <f>K14+K23</f>
        <v>0</v>
      </c>
      <c r="L25" s="19">
        <f>L14+L23</f>
        <v>8000</v>
      </c>
      <c r="N25" s="16">
        <f>N14+N23</f>
        <v>0</v>
      </c>
      <c r="O25" s="16">
        <f>O14+O23</f>
        <v>0</v>
      </c>
      <c r="P25" s="16">
        <f>P14+P23</f>
        <v>0</v>
      </c>
      <c r="Q25" s="16">
        <f>Q14+Q23</f>
        <v>0</v>
      </c>
      <c r="S25" s="16">
        <f>S14+S23</f>
        <v>0</v>
      </c>
      <c r="T25" s="16">
        <f>T14+T23</f>
        <v>0</v>
      </c>
      <c r="U25" s="16">
        <f>U14+U23</f>
        <v>0</v>
      </c>
      <c r="V25" s="16">
        <f>V14+V23</f>
        <v>0</v>
      </c>
      <c r="W25" s="19">
        <f>V25+Q25+L25</f>
        <v>8000</v>
      </c>
    </row>
    <row r="26" spans="1:23" ht="17" thickBot="1" x14ac:dyDescent="0.25">
      <c r="A26" s="1"/>
      <c r="B26" s="1"/>
      <c r="C26" s="6"/>
      <c r="D26" s="6"/>
      <c r="E26" s="6"/>
      <c r="F26" s="6"/>
      <c r="G26" s="6"/>
      <c r="H26" s="6"/>
      <c r="I26" s="6"/>
      <c r="J26" s="6"/>
      <c r="K26" s="6"/>
      <c r="L26" s="7"/>
    </row>
    <row r="27" spans="1:23" ht="17" thickBot="1" x14ac:dyDescent="0.25">
      <c r="A27" s="1" t="s">
        <v>159</v>
      </c>
      <c r="B27" s="1"/>
      <c r="C27" s="20">
        <f>L25</f>
        <v>8000</v>
      </c>
      <c r="D27" s="21">
        <f>W25</f>
        <v>8000</v>
      </c>
      <c r="E27" s="79"/>
      <c r="F27" s="6"/>
      <c r="G27" s="6"/>
      <c r="H27" s="6"/>
      <c r="I27" s="6"/>
      <c r="J27" s="6"/>
      <c r="K27" s="6"/>
      <c r="L27" s="7"/>
    </row>
    <row r="28" spans="1:23" x14ac:dyDescent="0.2">
      <c r="D28" s="6"/>
      <c r="E28" s="6"/>
      <c r="F28" s="6"/>
      <c r="G28" s="6"/>
      <c r="H28" s="6"/>
      <c r="I28" s="6"/>
      <c r="J28" s="6"/>
      <c r="K28" s="6"/>
      <c r="L28" s="7"/>
    </row>
    <row r="29" spans="1:23" x14ac:dyDescent="0.2">
      <c r="D29" s="6" t="s">
        <v>157</v>
      </c>
      <c r="E29" s="6"/>
      <c r="F29" s="6"/>
      <c r="G29" s="6"/>
      <c r="H29" s="6"/>
      <c r="I29" s="6"/>
      <c r="J29" s="6"/>
      <c r="K29" s="6"/>
      <c r="L29" s="7"/>
    </row>
    <row r="30" spans="1:23" x14ac:dyDescent="0.2">
      <c r="A30" s="1" t="s">
        <v>153</v>
      </c>
      <c r="B30" s="1"/>
      <c r="C30" s="17">
        <f>C25</f>
        <v>8000</v>
      </c>
      <c r="D30" s="80">
        <v>0</v>
      </c>
      <c r="G30" s="6"/>
      <c r="I30" s="6"/>
      <c r="J30" s="6"/>
      <c r="K30" s="6"/>
      <c r="L30" s="7"/>
    </row>
    <row r="31" spans="1:23" x14ac:dyDescent="0.2">
      <c r="A31" s="1" t="s">
        <v>154</v>
      </c>
      <c r="B31" s="1"/>
      <c r="C31" s="17">
        <f>PV($G$34, D31, 0, -D25)</f>
        <v>0</v>
      </c>
      <c r="D31" s="81">
        <v>4</v>
      </c>
      <c r="G31" s="6"/>
      <c r="I31" s="6"/>
      <c r="J31" s="6"/>
      <c r="K31" s="6"/>
      <c r="L31" s="7"/>
    </row>
    <row r="32" spans="1:23" x14ac:dyDescent="0.2">
      <c r="A32" s="4" t="s">
        <v>155</v>
      </c>
      <c r="B32" s="4"/>
      <c r="C32" s="17">
        <f>PV($G$34, D32, 0, -E25)</f>
        <v>0</v>
      </c>
      <c r="D32" s="81">
        <v>8</v>
      </c>
      <c r="E32" s="1"/>
      <c r="G32" s="6"/>
      <c r="I32" s="6"/>
      <c r="J32" s="6"/>
      <c r="K32" s="6"/>
      <c r="L32" s="7"/>
    </row>
    <row r="33" spans="1:12" x14ac:dyDescent="0.2">
      <c r="A33" s="1" t="s">
        <v>153</v>
      </c>
      <c r="B33" s="4"/>
      <c r="C33" s="17">
        <f>PV($G$34, D33, 0, -H25)</f>
        <v>0</v>
      </c>
      <c r="D33" s="82">
        <v>12</v>
      </c>
      <c r="E33" s="6"/>
      <c r="F33" s="1" t="s">
        <v>88</v>
      </c>
      <c r="G33" s="5">
        <v>7.0000000000000007E-2</v>
      </c>
      <c r="H33" s="18"/>
      <c r="I33" s="6"/>
      <c r="J33" s="6"/>
      <c r="K33" s="6"/>
      <c r="L33" s="7"/>
    </row>
    <row r="34" spans="1:12" x14ac:dyDescent="0.2">
      <c r="A34" s="1" t="s">
        <v>154</v>
      </c>
      <c r="B34" s="4"/>
      <c r="C34" s="17">
        <f>PV($G$34, D34, 0, -I25)</f>
        <v>0</v>
      </c>
      <c r="D34" s="82">
        <v>16</v>
      </c>
      <c r="E34" s="6"/>
      <c r="F34" s="1" t="s">
        <v>17</v>
      </c>
      <c r="G34" s="43">
        <f>G33/12</f>
        <v>5.8333333333333336E-3</v>
      </c>
      <c r="H34" s="18"/>
      <c r="I34" s="6"/>
      <c r="J34" s="6"/>
      <c r="K34" s="6"/>
      <c r="L34" s="7"/>
    </row>
    <row r="35" spans="1:12" ht="17" thickBot="1" x14ac:dyDescent="0.25">
      <c r="A35" s="4" t="s">
        <v>155</v>
      </c>
      <c r="B35" s="1"/>
      <c r="C35" s="17">
        <f>PV($G$34, D35, 0, -J25)</f>
        <v>0</v>
      </c>
      <c r="D35" s="80">
        <v>20</v>
      </c>
      <c r="E35" s="6"/>
      <c r="K35" s="6"/>
      <c r="L35" s="7"/>
    </row>
    <row r="36" spans="1:12" ht="17" thickBot="1" x14ac:dyDescent="0.25">
      <c r="A36" s="1" t="s">
        <v>54</v>
      </c>
      <c r="B36" s="1"/>
      <c r="C36" s="21">
        <f>SUM(C30:C35)</f>
        <v>8000</v>
      </c>
      <c r="D36" s="82"/>
      <c r="E36" s="6"/>
      <c r="F36" s="6"/>
      <c r="G36" s="6"/>
      <c r="K36" s="6"/>
      <c r="L36" s="7"/>
    </row>
    <row r="37" spans="1:12" x14ac:dyDescent="0.2">
      <c r="A37" s="1" t="s">
        <v>153</v>
      </c>
      <c r="B37" s="1"/>
      <c r="C37" s="17">
        <f>PV($G$34, D37, 0, -N25)</f>
        <v>0</v>
      </c>
      <c r="D37" s="83">
        <v>24</v>
      </c>
      <c r="K37" s="6"/>
      <c r="L37" s="7"/>
    </row>
    <row r="38" spans="1:12" x14ac:dyDescent="0.2">
      <c r="A38" s="1" t="s">
        <v>154</v>
      </c>
      <c r="B38" s="4"/>
      <c r="C38" s="17">
        <f>PV($G$34, D38, 0, -O25)</f>
        <v>0</v>
      </c>
      <c r="D38" s="83">
        <v>28</v>
      </c>
      <c r="K38" s="6"/>
      <c r="L38" s="7"/>
    </row>
    <row r="39" spans="1:12" x14ac:dyDescent="0.2">
      <c r="A39" s="4" t="s">
        <v>155</v>
      </c>
      <c r="B39" s="4"/>
      <c r="C39" s="17">
        <f>PV($G$34, D39, 0, -P25)</f>
        <v>0</v>
      </c>
      <c r="D39" s="82">
        <v>32</v>
      </c>
      <c r="E39" s="6"/>
      <c r="F39" s="6"/>
      <c r="G39" s="6"/>
      <c r="K39" s="6"/>
      <c r="L39" s="7"/>
    </row>
    <row r="40" spans="1:12" x14ac:dyDescent="0.2">
      <c r="A40" s="1" t="s">
        <v>153</v>
      </c>
      <c r="B40" s="1"/>
      <c r="C40" s="17">
        <f>PV($G$34, D40, 0, -S25)</f>
        <v>0</v>
      </c>
      <c r="D40" s="82">
        <v>36</v>
      </c>
      <c r="E40" s="6"/>
      <c r="F40" s="6"/>
      <c r="G40" s="6"/>
      <c r="K40" s="6"/>
      <c r="L40" s="7"/>
    </row>
    <row r="41" spans="1:12" x14ac:dyDescent="0.2">
      <c r="A41" s="1" t="s">
        <v>154</v>
      </c>
      <c r="B41" s="1"/>
      <c r="C41" s="17">
        <f>PV($G$34, D41, 0, -T25)</f>
        <v>0</v>
      </c>
      <c r="D41" s="82">
        <v>40</v>
      </c>
      <c r="E41" s="6"/>
      <c r="F41" s="6"/>
      <c r="G41" s="6"/>
      <c r="H41" s="6"/>
      <c r="I41" s="6"/>
      <c r="J41" s="6"/>
      <c r="K41" s="6"/>
      <c r="L41" s="7"/>
    </row>
    <row r="42" spans="1:12" ht="17" thickBot="1" x14ac:dyDescent="0.25">
      <c r="A42" s="4" t="s">
        <v>155</v>
      </c>
      <c r="C42" s="17">
        <f>PV($G$34, D42, 0, -U25)</f>
        <v>0</v>
      </c>
      <c r="D42" s="83">
        <v>44</v>
      </c>
    </row>
    <row r="43" spans="1:12" ht="17" thickBot="1" x14ac:dyDescent="0.25">
      <c r="A43" s="4" t="s">
        <v>156</v>
      </c>
      <c r="C43" s="21">
        <f>SUM(C36:C42)</f>
        <v>8000</v>
      </c>
    </row>
  </sheetData>
  <conditionalFormatting sqref="N7:W25">
    <cfRule type="expression" dxfId="5" priority="1">
      <formula>$N$2=1</formula>
    </cfRule>
  </conditionalFormatting>
  <dataValidations count="1">
    <dataValidation type="list" showInputMessage="1" showErrorMessage="1" promptTitle="Program Length" prompt="Choose the length of your program." sqref="B4" xr:uid="{9C3835BC-9EB7-2D4C-B107-31893445B6B5}">
      <formula1>"2 Year, 4 Year, Custom"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cro1">
                <anchor moveWithCells="1" sizeWithCells="1">
                  <from>
                    <xdr:col>6</xdr:col>
                    <xdr:colOff>736600</xdr:colOff>
                    <xdr:row>27</xdr:row>
                    <xdr:rowOff>50800</xdr:rowOff>
                  </from>
                  <to>
                    <xdr:col>9</xdr:col>
                    <xdr:colOff>647700</xdr:colOff>
                    <xdr:row>29</xdr:row>
                    <xdr:rowOff>63500</xdr:rowOff>
                  </to>
                </anchor>
              </controlPr>
            </control>
          </mc:Choice>
        </mc:AlternateContent>
        <mc:AlternateContent xmlns:mc="http://schemas.openxmlformats.org/markup-compatibility/2006">
          <mc:Choice Requires="x14">
            <control shapeId="10242" r:id="rId4" name="Button 2">
              <controlPr defaultSize="0" print="0" autoFill="0" autoPict="0" macro="[0]!Macro2" altText="Delete Bottom Indirect Expense Row">
                <anchor moveWithCells="1" sizeWithCells="1">
                  <from>
                    <xdr:col>9</xdr:col>
                    <xdr:colOff>698500</xdr:colOff>
                    <xdr:row>27</xdr:row>
                    <xdr:rowOff>63500</xdr:rowOff>
                  </from>
                  <to>
                    <xdr:col>12</xdr:col>
                    <xdr:colOff>482600</xdr:colOff>
                    <xdr:row>29</xdr:row>
                    <xdr:rowOff>63500</xdr:rowOff>
                  </to>
                </anchor>
              </controlPr>
            </control>
          </mc:Choice>
        </mc:AlternateContent>
        <mc:AlternateContent xmlns:mc="http://schemas.openxmlformats.org/markup-compatibility/2006">
          <mc:Choice Requires="x14">
            <control shapeId="10243" r:id="rId5" name="Button 3">
              <controlPr defaultSize="0" print="0" autoFill="0" autoPict="0" macro="[0]!Hide_Summer">
                <anchor moveWithCells="1" sizeWithCells="1">
                  <from>
                    <xdr:col>2</xdr:col>
                    <xdr:colOff>12700</xdr:colOff>
                    <xdr:row>4</xdr:row>
                    <xdr:rowOff>12700</xdr:rowOff>
                  </from>
                  <to>
                    <xdr:col>3</xdr:col>
                    <xdr:colOff>38100</xdr:colOff>
                    <xdr:row>5</xdr:row>
                    <xdr:rowOff>0</xdr:rowOff>
                  </to>
                </anchor>
              </controlPr>
            </control>
          </mc:Choice>
        </mc:AlternateContent>
        <mc:AlternateContent xmlns:mc="http://schemas.openxmlformats.org/markup-compatibility/2006">
          <mc:Choice Requires="x14">
            <control shapeId="10244" r:id="rId6" name="Button 4">
              <controlPr defaultSize="0" print="0" autoFill="0" autoPict="0" macro="[0]!Unhide_Summer">
                <anchor moveWithCells="1" sizeWithCells="1">
                  <from>
                    <xdr:col>0</xdr:col>
                    <xdr:colOff>1955800</xdr:colOff>
                    <xdr:row>4</xdr:row>
                    <xdr:rowOff>12700</xdr:rowOff>
                  </from>
                  <to>
                    <xdr:col>1</xdr:col>
                    <xdr:colOff>952500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59DAA-D73D-C841-98EA-E4A5CB5F1F7D}">
  <sheetPr codeName="Sheet7"/>
  <dimension ref="A1:FH49"/>
  <sheetViews>
    <sheetView topLeftCell="A6" workbookViewId="0">
      <selection activeCell="B9" sqref="B9"/>
    </sheetView>
  </sheetViews>
  <sheetFormatPr baseColWidth="10" defaultRowHeight="16" x14ac:dyDescent="0.2"/>
  <cols>
    <col min="1" max="1" width="28.6640625" bestFit="1" customWidth="1"/>
    <col min="2" max="2" width="20.33203125" customWidth="1"/>
    <col min="3" max="3" width="12.5" customWidth="1"/>
    <col min="4" max="4" width="11.33203125" customWidth="1"/>
    <col min="5" max="5" width="14.6640625" customWidth="1"/>
    <col min="6" max="6" width="11.5" bestFit="1" customWidth="1"/>
    <col min="7" max="7" width="12.1640625" bestFit="1" customWidth="1"/>
    <col min="8" max="8" width="11.5" bestFit="1" customWidth="1"/>
    <col min="9" max="9" width="12.1640625" bestFit="1" customWidth="1"/>
    <col min="10" max="14" width="11.5" bestFit="1" customWidth="1"/>
    <col min="15" max="15" width="12.1640625" bestFit="1" customWidth="1"/>
    <col min="16" max="18" width="11.5" bestFit="1" customWidth="1"/>
    <col min="19" max="19" width="12.1640625" bestFit="1" customWidth="1"/>
    <col min="20" max="20" width="11.5" bestFit="1" customWidth="1"/>
    <col min="21" max="21" width="12.1640625" bestFit="1" customWidth="1"/>
    <col min="22" max="26" width="11.5" bestFit="1" customWidth="1"/>
    <col min="27" max="27" width="12.1640625" bestFit="1" customWidth="1"/>
    <col min="28" max="28" width="11.5" customWidth="1"/>
    <col min="29" max="30" width="11.5" bestFit="1" customWidth="1"/>
    <col min="31" max="31" width="12.1640625" bestFit="1" customWidth="1"/>
    <col min="32" max="32" width="11.5" bestFit="1" customWidth="1"/>
    <col min="33" max="33" width="12.1640625" bestFit="1" customWidth="1"/>
    <col min="34" max="38" width="11.5" bestFit="1" customWidth="1"/>
    <col min="39" max="72" width="12.5" bestFit="1" customWidth="1"/>
    <col min="73" max="123" width="11.5" bestFit="1" customWidth="1"/>
    <col min="124" max="124" width="12.5" bestFit="1" customWidth="1"/>
    <col min="125" max="134" width="11.5" bestFit="1" customWidth="1"/>
    <col min="141" max="144" width="11.1640625" bestFit="1" customWidth="1"/>
    <col min="145" max="164" width="11.5" bestFit="1" customWidth="1"/>
  </cols>
  <sheetData>
    <row r="1" spans="1:164" x14ac:dyDescent="0.2">
      <c r="A1" s="48"/>
      <c r="B1" s="48"/>
      <c r="C1" s="48"/>
      <c r="D1" s="48"/>
      <c r="E1" s="48"/>
      <c r="F1" s="48"/>
      <c r="G1" s="48"/>
      <c r="H1" s="48"/>
      <c r="I1" s="48"/>
      <c r="J1" s="48"/>
      <c r="K1" s="48"/>
      <c r="L1" s="48"/>
    </row>
    <row r="2" spans="1:164" x14ac:dyDescent="0.2">
      <c r="A2" s="45" t="s">
        <v>74</v>
      </c>
      <c r="B2" s="46"/>
      <c r="C2" s="46"/>
      <c r="D2" s="46"/>
      <c r="E2" s="46"/>
      <c r="F2" s="46"/>
      <c r="G2" s="46"/>
      <c r="H2" s="46"/>
      <c r="I2" s="46"/>
      <c r="J2" s="46"/>
      <c r="K2" s="47"/>
      <c r="L2" s="58">
        <f>IF(B4="2 Year",1,0)</f>
        <v>0</v>
      </c>
    </row>
    <row r="3" spans="1:164" x14ac:dyDescent="0.2">
      <c r="A3" s="84"/>
      <c r="B3" s="51"/>
      <c r="C3" s="51"/>
      <c r="D3" s="51"/>
      <c r="E3" s="51"/>
      <c r="F3" s="51"/>
      <c r="G3" s="51"/>
      <c r="H3" s="51"/>
      <c r="I3" s="51"/>
      <c r="J3" s="51"/>
      <c r="K3" s="52"/>
      <c r="L3" s="48"/>
    </row>
    <row r="4" spans="1:164" x14ac:dyDescent="0.2">
      <c r="L4" s="48"/>
    </row>
    <row r="5" spans="1:164" x14ac:dyDescent="0.2">
      <c r="B5" t="s">
        <v>12</v>
      </c>
      <c r="C5" s="1"/>
    </row>
    <row r="6" spans="1:164" x14ac:dyDescent="0.2">
      <c r="A6" s="1" t="s">
        <v>44</v>
      </c>
      <c r="B6" s="1" t="s">
        <v>45</v>
      </c>
      <c r="C6">
        <v>0</v>
      </c>
      <c r="D6">
        <v>1</v>
      </c>
      <c r="E6">
        <v>2</v>
      </c>
      <c r="F6">
        <v>3</v>
      </c>
      <c r="G6">
        <v>4</v>
      </c>
      <c r="H6">
        <v>5</v>
      </c>
      <c r="I6">
        <v>6</v>
      </c>
      <c r="J6">
        <v>7</v>
      </c>
      <c r="K6">
        <v>8</v>
      </c>
      <c r="L6">
        <v>9</v>
      </c>
      <c r="M6">
        <v>10</v>
      </c>
      <c r="N6">
        <v>11</v>
      </c>
      <c r="O6">
        <v>12</v>
      </c>
      <c r="P6">
        <v>13</v>
      </c>
      <c r="Q6">
        <v>14</v>
      </c>
      <c r="R6">
        <v>15</v>
      </c>
      <c r="S6">
        <v>16</v>
      </c>
      <c r="T6">
        <v>17</v>
      </c>
      <c r="U6">
        <v>18</v>
      </c>
      <c r="V6">
        <v>19</v>
      </c>
      <c r="W6">
        <v>20</v>
      </c>
      <c r="X6">
        <v>21</v>
      </c>
      <c r="Y6">
        <v>22</v>
      </c>
      <c r="Z6">
        <v>23</v>
      </c>
      <c r="AA6">
        <v>24</v>
      </c>
      <c r="AB6">
        <v>25</v>
      </c>
      <c r="AC6">
        <v>26</v>
      </c>
      <c r="AD6">
        <v>27</v>
      </c>
      <c r="AE6">
        <v>28</v>
      </c>
      <c r="AF6">
        <v>29</v>
      </c>
      <c r="AG6">
        <v>30</v>
      </c>
      <c r="AH6">
        <v>31</v>
      </c>
      <c r="AI6">
        <v>32</v>
      </c>
      <c r="AJ6">
        <v>33</v>
      </c>
      <c r="AK6">
        <v>34</v>
      </c>
      <c r="AL6">
        <v>35</v>
      </c>
      <c r="AM6">
        <v>36</v>
      </c>
      <c r="AN6">
        <v>37</v>
      </c>
      <c r="AO6">
        <v>38</v>
      </c>
      <c r="AP6">
        <v>39</v>
      </c>
      <c r="AQ6">
        <v>40</v>
      </c>
      <c r="AR6">
        <v>41</v>
      </c>
      <c r="AS6">
        <v>42</v>
      </c>
      <c r="AT6">
        <v>43</v>
      </c>
      <c r="AU6">
        <v>44</v>
      </c>
      <c r="AV6">
        <v>45</v>
      </c>
      <c r="AW6">
        <v>46</v>
      </c>
      <c r="AX6">
        <v>47</v>
      </c>
      <c r="AY6">
        <v>48</v>
      </c>
      <c r="AZ6">
        <v>49</v>
      </c>
      <c r="BA6">
        <v>50</v>
      </c>
      <c r="BB6">
        <v>51</v>
      </c>
      <c r="BC6">
        <v>52</v>
      </c>
      <c r="BD6">
        <v>53</v>
      </c>
      <c r="BE6">
        <v>54</v>
      </c>
      <c r="BF6">
        <v>55</v>
      </c>
      <c r="BG6">
        <v>56</v>
      </c>
      <c r="BH6">
        <v>57</v>
      </c>
      <c r="BI6">
        <v>58</v>
      </c>
      <c r="BJ6">
        <v>59</v>
      </c>
      <c r="BK6">
        <v>60</v>
      </c>
      <c r="BL6">
        <v>61</v>
      </c>
      <c r="BM6">
        <v>62</v>
      </c>
      <c r="BN6">
        <v>63</v>
      </c>
      <c r="BO6">
        <v>64</v>
      </c>
      <c r="BP6">
        <v>65</v>
      </c>
      <c r="BQ6">
        <v>66</v>
      </c>
      <c r="BR6">
        <v>67</v>
      </c>
      <c r="BS6">
        <v>68</v>
      </c>
      <c r="BT6">
        <v>69</v>
      </c>
      <c r="BU6">
        <v>70</v>
      </c>
      <c r="BV6">
        <v>71</v>
      </c>
      <c r="BW6">
        <v>72</v>
      </c>
      <c r="BX6">
        <v>73</v>
      </c>
      <c r="BY6">
        <v>74</v>
      </c>
      <c r="BZ6">
        <v>75</v>
      </c>
      <c r="CA6">
        <v>76</v>
      </c>
      <c r="CB6">
        <v>77</v>
      </c>
      <c r="CC6">
        <v>78</v>
      </c>
      <c r="CD6">
        <v>79</v>
      </c>
      <c r="CE6">
        <v>80</v>
      </c>
      <c r="CF6">
        <v>81</v>
      </c>
      <c r="CG6">
        <v>82</v>
      </c>
      <c r="CH6">
        <v>83</v>
      </c>
      <c r="CI6">
        <v>84</v>
      </c>
      <c r="CJ6">
        <v>85</v>
      </c>
      <c r="CK6">
        <v>86</v>
      </c>
      <c r="CL6">
        <v>87</v>
      </c>
      <c r="CM6">
        <v>88</v>
      </c>
      <c r="CN6">
        <v>89</v>
      </c>
      <c r="CO6">
        <v>90</v>
      </c>
      <c r="CP6">
        <v>91</v>
      </c>
      <c r="CQ6">
        <v>92</v>
      </c>
      <c r="CR6">
        <v>93</v>
      </c>
      <c r="CS6">
        <v>94</v>
      </c>
      <c r="CT6">
        <v>95</v>
      </c>
      <c r="CU6">
        <v>96</v>
      </c>
      <c r="CV6">
        <v>97</v>
      </c>
      <c r="CW6">
        <v>98</v>
      </c>
      <c r="CX6">
        <v>99</v>
      </c>
      <c r="CY6">
        <v>100</v>
      </c>
      <c r="CZ6">
        <v>101</v>
      </c>
      <c r="DA6">
        <v>102</v>
      </c>
      <c r="DB6">
        <v>103</v>
      </c>
      <c r="DC6">
        <v>104</v>
      </c>
      <c r="DD6">
        <v>105</v>
      </c>
      <c r="DE6">
        <v>106</v>
      </c>
      <c r="DF6">
        <v>107</v>
      </c>
      <c r="DG6">
        <v>108</v>
      </c>
      <c r="DH6">
        <v>109</v>
      </c>
      <c r="DI6">
        <v>110</v>
      </c>
      <c r="DJ6">
        <v>111</v>
      </c>
      <c r="DK6">
        <v>112</v>
      </c>
      <c r="DL6">
        <v>113</v>
      </c>
      <c r="DM6">
        <v>114</v>
      </c>
      <c r="DN6">
        <v>115</v>
      </c>
      <c r="DO6">
        <v>116</v>
      </c>
      <c r="DP6">
        <v>117</v>
      </c>
      <c r="DQ6">
        <v>118</v>
      </c>
      <c r="DR6">
        <v>119</v>
      </c>
      <c r="DS6">
        <v>120</v>
      </c>
      <c r="DT6">
        <v>121</v>
      </c>
      <c r="DU6">
        <v>122</v>
      </c>
      <c r="DV6">
        <v>123</v>
      </c>
      <c r="DW6">
        <v>124</v>
      </c>
      <c r="DX6">
        <v>125</v>
      </c>
      <c r="DY6">
        <v>126</v>
      </c>
      <c r="DZ6">
        <v>127</v>
      </c>
      <c r="EA6">
        <v>128</v>
      </c>
      <c r="EB6">
        <v>129</v>
      </c>
      <c r="EC6">
        <v>130</v>
      </c>
      <c r="ED6">
        <v>131</v>
      </c>
      <c r="EE6">
        <v>132</v>
      </c>
      <c r="EF6">
        <v>133</v>
      </c>
      <c r="EG6">
        <v>134</v>
      </c>
      <c r="EH6">
        <v>135</v>
      </c>
      <c r="EI6">
        <v>136</v>
      </c>
      <c r="EJ6">
        <v>137</v>
      </c>
      <c r="EK6">
        <v>138</v>
      </c>
      <c r="EL6">
        <v>139</v>
      </c>
      <c r="EM6">
        <v>140</v>
      </c>
      <c r="EN6">
        <v>141</v>
      </c>
      <c r="EO6">
        <v>142</v>
      </c>
      <c r="EP6">
        <v>143</v>
      </c>
      <c r="EQ6">
        <v>144</v>
      </c>
      <c r="ER6">
        <v>145</v>
      </c>
      <c r="ES6">
        <v>146</v>
      </c>
      <c r="ET6">
        <v>147</v>
      </c>
      <c r="EU6">
        <v>148</v>
      </c>
      <c r="EV6">
        <v>149</v>
      </c>
      <c r="EW6">
        <v>150</v>
      </c>
      <c r="EX6">
        <v>151</v>
      </c>
      <c r="EY6">
        <v>152</v>
      </c>
      <c r="EZ6">
        <v>153</v>
      </c>
      <c r="FA6">
        <v>154</v>
      </c>
      <c r="FB6">
        <v>155</v>
      </c>
      <c r="FC6">
        <v>156</v>
      </c>
      <c r="FD6">
        <v>157</v>
      </c>
      <c r="FE6">
        <v>158</v>
      </c>
      <c r="FF6">
        <v>159</v>
      </c>
      <c r="FG6">
        <v>160</v>
      </c>
      <c r="FH6">
        <v>161</v>
      </c>
    </row>
    <row r="8" spans="1:164" x14ac:dyDescent="0.2">
      <c r="A8" s="1" t="s">
        <v>27</v>
      </c>
    </row>
    <row r="9" spans="1:164" x14ac:dyDescent="0.2">
      <c r="A9" t="s">
        <v>128</v>
      </c>
      <c r="C9" s="25"/>
      <c r="D9" s="11">
        <f t="shared" ref="D9:AA9" si="0">$B$33</f>
        <v>0</v>
      </c>
      <c r="E9" s="11">
        <f t="shared" si="0"/>
        <v>0</v>
      </c>
      <c r="F9" s="11">
        <f t="shared" si="0"/>
        <v>0</v>
      </c>
      <c r="G9" s="11">
        <f t="shared" si="0"/>
        <v>0</v>
      </c>
      <c r="H9" s="11">
        <f t="shared" si="0"/>
        <v>0</v>
      </c>
      <c r="I9" s="11">
        <f t="shared" si="0"/>
        <v>0</v>
      </c>
      <c r="J9" s="11">
        <f t="shared" si="0"/>
        <v>0</v>
      </c>
      <c r="K9" s="11">
        <f t="shared" si="0"/>
        <v>0</v>
      </c>
      <c r="L9" s="11">
        <f t="shared" si="0"/>
        <v>0</v>
      </c>
      <c r="M9" s="11">
        <f t="shared" si="0"/>
        <v>0</v>
      </c>
      <c r="N9" s="11">
        <f t="shared" si="0"/>
        <v>0</v>
      </c>
      <c r="O9" s="11">
        <f t="shared" si="0"/>
        <v>0</v>
      </c>
      <c r="P9" s="11">
        <f t="shared" si="0"/>
        <v>0</v>
      </c>
      <c r="Q9" s="11">
        <f t="shared" si="0"/>
        <v>0</v>
      </c>
      <c r="R9" s="11">
        <f t="shared" si="0"/>
        <v>0</v>
      </c>
      <c r="S9" s="11">
        <f t="shared" si="0"/>
        <v>0</v>
      </c>
      <c r="T9" s="11">
        <f t="shared" si="0"/>
        <v>0</v>
      </c>
      <c r="U9" s="11">
        <f t="shared" si="0"/>
        <v>0</v>
      </c>
      <c r="V9" s="11">
        <f t="shared" si="0"/>
        <v>0</v>
      </c>
      <c r="W9" s="11">
        <f t="shared" si="0"/>
        <v>0</v>
      </c>
      <c r="X9" s="11">
        <f t="shared" si="0"/>
        <v>0</v>
      </c>
      <c r="Y9" s="11">
        <f t="shared" si="0"/>
        <v>0</v>
      </c>
      <c r="Z9" s="11">
        <f t="shared" si="0"/>
        <v>0</v>
      </c>
      <c r="AA9" s="11">
        <f t="shared" si="0"/>
        <v>0</v>
      </c>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row>
    <row r="10" spans="1:164" x14ac:dyDescent="0.2">
      <c r="A10" t="s">
        <v>129</v>
      </c>
      <c r="C10" s="12">
        <f>B35+$B$34</f>
        <v>0</v>
      </c>
      <c r="D10" s="12"/>
      <c r="E10" s="11"/>
      <c r="F10" s="11"/>
      <c r="G10" s="11"/>
      <c r="H10" s="11"/>
      <c r="I10" s="11"/>
      <c r="J10" s="11"/>
      <c r="K10" s="11"/>
      <c r="L10" s="11"/>
      <c r="M10" s="11"/>
      <c r="N10" s="11"/>
      <c r="O10" s="11">
        <f>$B$34</f>
        <v>0</v>
      </c>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row>
    <row r="11" spans="1:164" x14ac:dyDescent="0.2">
      <c r="A11" t="s">
        <v>31</v>
      </c>
      <c r="C11" s="25"/>
      <c r="D11" s="11">
        <f>IF(C20&gt;0,C20-C24,0)</f>
        <v>0</v>
      </c>
      <c r="E11" s="11">
        <f t="shared" ref="E11:BP11" si="1">IF(D20&gt;0,D20-D24,0)</f>
        <v>0</v>
      </c>
      <c r="F11" s="11">
        <f t="shared" si="1"/>
        <v>0</v>
      </c>
      <c r="G11" s="11">
        <f t="shared" si="1"/>
        <v>0</v>
      </c>
      <c r="H11" s="11">
        <f t="shared" si="1"/>
        <v>0</v>
      </c>
      <c r="I11" s="11">
        <f t="shared" si="1"/>
        <v>0</v>
      </c>
      <c r="J11" s="11">
        <f t="shared" si="1"/>
        <v>0</v>
      </c>
      <c r="K11" s="11">
        <f t="shared" si="1"/>
        <v>0</v>
      </c>
      <c r="L11" s="11">
        <f t="shared" si="1"/>
        <v>0</v>
      </c>
      <c r="M11" s="11">
        <f t="shared" si="1"/>
        <v>0</v>
      </c>
      <c r="N11" s="11">
        <f t="shared" si="1"/>
        <v>0</v>
      </c>
      <c r="O11" s="11">
        <f t="shared" si="1"/>
        <v>0</v>
      </c>
      <c r="P11" s="11">
        <f t="shared" si="1"/>
        <v>0</v>
      </c>
      <c r="Q11" s="11">
        <f t="shared" si="1"/>
        <v>0</v>
      </c>
      <c r="R11" s="11">
        <f t="shared" si="1"/>
        <v>0</v>
      </c>
      <c r="S11" s="11">
        <f t="shared" si="1"/>
        <v>0</v>
      </c>
      <c r="T11" s="11">
        <f t="shared" si="1"/>
        <v>0</v>
      </c>
      <c r="U11" s="11">
        <f t="shared" si="1"/>
        <v>0</v>
      </c>
      <c r="V11" s="11">
        <f t="shared" si="1"/>
        <v>0</v>
      </c>
      <c r="W11" s="11">
        <f t="shared" si="1"/>
        <v>0</v>
      </c>
      <c r="X11" s="11">
        <f t="shared" si="1"/>
        <v>0</v>
      </c>
      <c r="Y11" s="11">
        <f t="shared" si="1"/>
        <v>0</v>
      </c>
      <c r="Z11" s="11">
        <f t="shared" si="1"/>
        <v>0</v>
      </c>
      <c r="AA11" s="11">
        <f t="shared" si="1"/>
        <v>0</v>
      </c>
      <c r="AB11" s="11">
        <f t="shared" si="1"/>
        <v>0</v>
      </c>
      <c r="AC11" s="11">
        <f t="shared" si="1"/>
        <v>0</v>
      </c>
      <c r="AD11" s="11">
        <f t="shared" si="1"/>
        <v>0</v>
      </c>
      <c r="AE11" s="11">
        <f t="shared" si="1"/>
        <v>0</v>
      </c>
      <c r="AF11" s="11">
        <f t="shared" si="1"/>
        <v>0</v>
      </c>
      <c r="AG11" s="11">
        <f t="shared" si="1"/>
        <v>0</v>
      </c>
      <c r="AH11" s="11">
        <f t="shared" si="1"/>
        <v>0</v>
      </c>
      <c r="AI11" s="11">
        <f t="shared" si="1"/>
        <v>0</v>
      </c>
      <c r="AJ11" s="11">
        <f t="shared" si="1"/>
        <v>0</v>
      </c>
      <c r="AK11" s="11">
        <f t="shared" si="1"/>
        <v>0</v>
      </c>
      <c r="AL11" s="11">
        <f t="shared" si="1"/>
        <v>0</v>
      </c>
      <c r="AM11" s="11">
        <f t="shared" si="1"/>
        <v>0</v>
      </c>
      <c r="AN11" s="11">
        <f t="shared" si="1"/>
        <v>0</v>
      </c>
      <c r="AO11" s="11">
        <f t="shared" si="1"/>
        <v>0</v>
      </c>
      <c r="AP11" s="11">
        <f t="shared" si="1"/>
        <v>0</v>
      </c>
      <c r="AQ11" s="11">
        <f t="shared" si="1"/>
        <v>0</v>
      </c>
      <c r="AR11" s="11">
        <f t="shared" si="1"/>
        <v>0</v>
      </c>
      <c r="AS11" s="11">
        <f t="shared" si="1"/>
        <v>0</v>
      </c>
      <c r="AT11" s="11">
        <f t="shared" si="1"/>
        <v>0</v>
      </c>
      <c r="AU11" s="11">
        <f t="shared" si="1"/>
        <v>0</v>
      </c>
      <c r="AV11" s="11">
        <f t="shared" si="1"/>
        <v>0</v>
      </c>
      <c r="AW11" s="11">
        <f t="shared" si="1"/>
        <v>0</v>
      </c>
      <c r="AX11" s="11">
        <f t="shared" si="1"/>
        <v>0</v>
      </c>
      <c r="AY11" s="11">
        <f t="shared" si="1"/>
        <v>0</v>
      </c>
      <c r="AZ11" s="11">
        <f t="shared" si="1"/>
        <v>0</v>
      </c>
      <c r="BA11" s="11">
        <f t="shared" si="1"/>
        <v>0</v>
      </c>
      <c r="BB11" s="11">
        <f t="shared" si="1"/>
        <v>0</v>
      </c>
      <c r="BC11" s="11">
        <f t="shared" si="1"/>
        <v>0</v>
      </c>
      <c r="BD11" s="11">
        <f t="shared" si="1"/>
        <v>0</v>
      </c>
      <c r="BE11" s="11">
        <f t="shared" si="1"/>
        <v>0</v>
      </c>
      <c r="BF11" s="11">
        <f t="shared" si="1"/>
        <v>0</v>
      </c>
      <c r="BG11" s="11">
        <f t="shared" si="1"/>
        <v>0</v>
      </c>
      <c r="BH11" s="11">
        <f t="shared" si="1"/>
        <v>0</v>
      </c>
      <c r="BI11" s="11">
        <f t="shared" si="1"/>
        <v>0</v>
      </c>
      <c r="BJ11" s="11">
        <f t="shared" si="1"/>
        <v>0</v>
      </c>
      <c r="BK11" s="11">
        <f t="shared" si="1"/>
        <v>0</v>
      </c>
      <c r="BL11" s="11">
        <f t="shared" si="1"/>
        <v>0</v>
      </c>
      <c r="BM11" s="11">
        <f t="shared" si="1"/>
        <v>0</v>
      </c>
      <c r="BN11" s="11">
        <f t="shared" si="1"/>
        <v>0</v>
      </c>
      <c r="BO11" s="11">
        <f t="shared" si="1"/>
        <v>0</v>
      </c>
      <c r="BP11" s="11">
        <f t="shared" si="1"/>
        <v>0</v>
      </c>
      <c r="BQ11" s="11">
        <f t="shared" ref="BQ11:EB11" si="2">IF(BP20&gt;0,BP20-BP24,0)</f>
        <v>0</v>
      </c>
      <c r="BR11" s="11">
        <f t="shared" si="2"/>
        <v>0</v>
      </c>
      <c r="BS11" s="11">
        <f t="shared" si="2"/>
        <v>0</v>
      </c>
      <c r="BT11" s="11">
        <f t="shared" si="2"/>
        <v>0</v>
      </c>
      <c r="BU11" s="11">
        <f t="shared" si="2"/>
        <v>0</v>
      </c>
      <c r="BV11" s="11">
        <f t="shared" si="2"/>
        <v>0</v>
      </c>
      <c r="BW11" s="11">
        <f t="shared" si="2"/>
        <v>0</v>
      </c>
      <c r="BX11" s="11">
        <f t="shared" si="2"/>
        <v>0</v>
      </c>
      <c r="BY11" s="11">
        <f t="shared" si="2"/>
        <v>0</v>
      </c>
      <c r="BZ11" s="11">
        <f t="shared" si="2"/>
        <v>0</v>
      </c>
      <c r="CA11" s="11">
        <f t="shared" si="2"/>
        <v>0</v>
      </c>
      <c r="CB11" s="11">
        <f t="shared" si="2"/>
        <v>0</v>
      </c>
      <c r="CC11" s="11">
        <f t="shared" si="2"/>
        <v>0</v>
      </c>
      <c r="CD11" s="11">
        <f t="shared" si="2"/>
        <v>0</v>
      </c>
      <c r="CE11" s="11">
        <f t="shared" si="2"/>
        <v>0</v>
      </c>
      <c r="CF11" s="11">
        <f t="shared" si="2"/>
        <v>0</v>
      </c>
      <c r="CG11" s="11">
        <f t="shared" si="2"/>
        <v>0</v>
      </c>
      <c r="CH11" s="11">
        <f t="shared" si="2"/>
        <v>0</v>
      </c>
      <c r="CI11" s="11">
        <f t="shared" si="2"/>
        <v>0</v>
      </c>
      <c r="CJ11" s="11">
        <f t="shared" si="2"/>
        <v>0</v>
      </c>
      <c r="CK11" s="11">
        <f t="shared" si="2"/>
        <v>0</v>
      </c>
      <c r="CL11" s="11">
        <f t="shared" si="2"/>
        <v>0</v>
      </c>
      <c r="CM11" s="11">
        <f t="shared" si="2"/>
        <v>0</v>
      </c>
      <c r="CN11" s="11">
        <f t="shared" si="2"/>
        <v>0</v>
      </c>
      <c r="CO11" s="11">
        <f t="shared" si="2"/>
        <v>0</v>
      </c>
      <c r="CP11" s="11">
        <f t="shared" si="2"/>
        <v>0</v>
      </c>
      <c r="CQ11" s="11">
        <f t="shared" si="2"/>
        <v>0</v>
      </c>
      <c r="CR11" s="11">
        <f t="shared" si="2"/>
        <v>0</v>
      </c>
      <c r="CS11" s="11">
        <f t="shared" si="2"/>
        <v>0</v>
      </c>
      <c r="CT11" s="11">
        <f t="shared" si="2"/>
        <v>0</v>
      </c>
      <c r="CU11" s="11">
        <f t="shared" si="2"/>
        <v>0</v>
      </c>
      <c r="CV11" s="11">
        <f t="shared" si="2"/>
        <v>0</v>
      </c>
      <c r="CW11" s="11">
        <f t="shared" si="2"/>
        <v>0</v>
      </c>
      <c r="CX11" s="11">
        <f t="shared" si="2"/>
        <v>0</v>
      </c>
      <c r="CY11" s="11">
        <f t="shared" si="2"/>
        <v>0</v>
      </c>
      <c r="CZ11" s="11">
        <f t="shared" si="2"/>
        <v>0</v>
      </c>
      <c r="DA11" s="11">
        <f t="shared" si="2"/>
        <v>0</v>
      </c>
      <c r="DB11" s="11">
        <f t="shared" si="2"/>
        <v>0</v>
      </c>
      <c r="DC11" s="11">
        <f t="shared" si="2"/>
        <v>0</v>
      </c>
      <c r="DD11" s="11">
        <f t="shared" si="2"/>
        <v>0</v>
      </c>
      <c r="DE11" s="11">
        <f t="shared" si="2"/>
        <v>0</v>
      </c>
      <c r="DF11" s="11">
        <f t="shared" si="2"/>
        <v>0</v>
      </c>
      <c r="DG11" s="11">
        <f t="shared" si="2"/>
        <v>0</v>
      </c>
      <c r="DH11" s="11">
        <f t="shared" si="2"/>
        <v>0</v>
      </c>
      <c r="DI11" s="11">
        <f t="shared" si="2"/>
        <v>0</v>
      </c>
      <c r="DJ11" s="11">
        <f t="shared" si="2"/>
        <v>0</v>
      </c>
      <c r="DK11" s="11">
        <f t="shared" si="2"/>
        <v>0</v>
      </c>
      <c r="DL11" s="11">
        <f t="shared" si="2"/>
        <v>0</v>
      </c>
      <c r="DM11" s="11">
        <f t="shared" si="2"/>
        <v>0</v>
      </c>
      <c r="DN11" s="11">
        <f t="shared" si="2"/>
        <v>0</v>
      </c>
      <c r="DO11" s="11">
        <f t="shared" si="2"/>
        <v>0</v>
      </c>
      <c r="DP11" s="11">
        <f t="shared" si="2"/>
        <v>0</v>
      </c>
      <c r="DQ11" s="11">
        <f t="shared" si="2"/>
        <v>0</v>
      </c>
      <c r="DR11" s="11">
        <f t="shared" si="2"/>
        <v>0</v>
      </c>
      <c r="DS11" s="11">
        <f t="shared" si="2"/>
        <v>0</v>
      </c>
      <c r="DT11" s="11">
        <f t="shared" si="2"/>
        <v>0</v>
      </c>
      <c r="DU11" s="11">
        <f t="shared" si="2"/>
        <v>0</v>
      </c>
      <c r="DV11" s="11">
        <f t="shared" si="2"/>
        <v>0</v>
      </c>
      <c r="DW11" s="11">
        <f t="shared" si="2"/>
        <v>0</v>
      </c>
      <c r="DX11" s="11">
        <f t="shared" si="2"/>
        <v>0</v>
      </c>
      <c r="DY11" s="11">
        <f t="shared" si="2"/>
        <v>0</v>
      </c>
      <c r="DZ11" s="11">
        <f t="shared" si="2"/>
        <v>0</v>
      </c>
      <c r="EA11" s="11">
        <f t="shared" si="2"/>
        <v>0</v>
      </c>
      <c r="EB11" s="11">
        <f t="shared" si="2"/>
        <v>0</v>
      </c>
      <c r="EC11" s="11">
        <f t="shared" ref="EC11:FH11" si="3">IF(EB20&gt;0,EB20-EB24,0)</f>
        <v>0</v>
      </c>
      <c r="ED11" s="11">
        <f t="shared" si="3"/>
        <v>0</v>
      </c>
      <c r="EE11" s="11">
        <f t="shared" si="3"/>
        <v>0</v>
      </c>
      <c r="EF11" s="11">
        <f t="shared" si="3"/>
        <v>0</v>
      </c>
      <c r="EG11" s="11">
        <f t="shared" si="3"/>
        <v>0</v>
      </c>
      <c r="EH11" s="11">
        <f t="shared" si="3"/>
        <v>0</v>
      </c>
      <c r="EI11" s="11">
        <f t="shared" si="3"/>
        <v>0</v>
      </c>
      <c r="EJ11" s="11">
        <f t="shared" si="3"/>
        <v>0</v>
      </c>
      <c r="EK11" s="11">
        <f t="shared" si="3"/>
        <v>0</v>
      </c>
      <c r="EL11" s="11">
        <f t="shared" si="3"/>
        <v>0</v>
      </c>
      <c r="EM11" s="11">
        <f t="shared" si="3"/>
        <v>0</v>
      </c>
      <c r="EN11" s="11">
        <f t="shared" si="3"/>
        <v>0</v>
      </c>
      <c r="EO11" s="11">
        <f t="shared" si="3"/>
        <v>0</v>
      </c>
      <c r="EP11" s="11">
        <f t="shared" si="3"/>
        <v>0</v>
      </c>
      <c r="EQ11" s="11">
        <f t="shared" si="3"/>
        <v>0</v>
      </c>
      <c r="ER11" s="11">
        <f t="shared" si="3"/>
        <v>0</v>
      </c>
      <c r="ES11" s="11">
        <f t="shared" si="3"/>
        <v>0</v>
      </c>
      <c r="ET11" s="11">
        <f t="shared" si="3"/>
        <v>0</v>
      </c>
      <c r="EU11" s="11">
        <f t="shared" si="3"/>
        <v>0</v>
      </c>
      <c r="EV11" s="11">
        <f t="shared" si="3"/>
        <v>0</v>
      </c>
      <c r="EW11" s="11">
        <f t="shared" si="3"/>
        <v>0</v>
      </c>
      <c r="EX11" s="11">
        <f t="shared" si="3"/>
        <v>0</v>
      </c>
      <c r="EY11" s="11">
        <f t="shared" si="3"/>
        <v>0</v>
      </c>
      <c r="EZ11" s="11">
        <f t="shared" si="3"/>
        <v>0</v>
      </c>
      <c r="FA11" s="11">
        <f t="shared" si="3"/>
        <v>0</v>
      </c>
      <c r="FB11" s="11">
        <f t="shared" si="3"/>
        <v>0</v>
      </c>
      <c r="FC11" s="11">
        <f t="shared" si="3"/>
        <v>0</v>
      </c>
      <c r="FD11" s="11">
        <f t="shared" si="3"/>
        <v>0</v>
      </c>
      <c r="FE11" s="11">
        <f t="shared" si="3"/>
        <v>0</v>
      </c>
      <c r="FF11" s="11">
        <f t="shared" si="3"/>
        <v>0</v>
      </c>
      <c r="FG11" s="11">
        <f t="shared" si="3"/>
        <v>0</v>
      </c>
      <c r="FH11" s="11">
        <f t="shared" si="3"/>
        <v>0</v>
      </c>
    </row>
    <row r="12" spans="1:164" x14ac:dyDescent="0.2">
      <c r="A12" t="s">
        <v>37</v>
      </c>
      <c r="C12" s="25"/>
      <c r="D12" s="11"/>
      <c r="E12" s="11"/>
      <c r="F12" s="11"/>
      <c r="G12" s="11"/>
      <c r="H12" s="11"/>
      <c r="I12" s="11"/>
      <c r="J12" s="11"/>
      <c r="K12" s="11"/>
      <c r="L12" s="11"/>
      <c r="M12" s="11"/>
      <c r="N12" s="11"/>
      <c r="O12" s="11"/>
      <c r="P12" s="11"/>
      <c r="Q12" s="11"/>
      <c r="R12" s="11"/>
      <c r="S12" s="11"/>
      <c r="T12" s="11"/>
      <c r="U12" s="11"/>
      <c r="V12" s="11"/>
      <c r="W12" s="11"/>
      <c r="X12" s="11"/>
      <c r="Y12" s="11"/>
      <c r="Z12" s="11"/>
      <c r="AA12" s="11"/>
      <c r="AB12" s="11">
        <f t="shared" ref="AB12:BG12" si="4">(VLOOKUP(ROUNDUP(((AB6/12)-2),0),$D$30:$E$36,2))/12</f>
        <v>0</v>
      </c>
      <c r="AC12" s="11">
        <f t="shared" si="4"/>
        <v>0</v>
      </c>
      <c r="AD12" s="11">
        <f t="shared" si="4"/>
        <v>0</v>
      </c>
      <c r="AE12" s="11">
        <f t="shared" si="4"/>
        <v>0</v>
      </c>
      <c r="AF12" s="11">
        <f t="shared" si="4"/>
        <v>0</v>
      </c>
      <c r="AG12" s="11">
        <f t="shared" si="4"/>
        <v>0</v>
      </c>
      <c r="AH12" s="11">
        <f t="shared" si="4"/>
        <v>0</v>
      </c>
      <c r="AI12" s="11">
        <f t="shared" si="4"/>
        <v>0</v>
      </c>
      <c r="AJ12" s="11">
        <f t="shared" si="4"/>
        <v>0</v>
      </c>
      <c r="AK12" s="11">
        <f t="shared" si="4"/>
        <v>0</v>
      </c>
      <c r="AL12" s="11">
        <f t="shared" si="4"/>
        <v>0</v>
      </c>
      <c r="AM12" s="11">
        <f t="shared" si="4"/>
        <v>0</v>
      </c>
      <c r="AN12" s="11">
        <f t="shared" si="4"/>
        <v>0</v>
      </c>
      <c r="AO12" s="11">
        <f t="shared" si="4"/>
        <v>0</v>
      </c>
      <c r="AP12" s="11">
        <f t="shared" si="4"/>
        <v>0</v>
      </c>
      <c r="AQ12" s="11">
        <f t="shared" si="4"/>
        <v>0</v>
      </c>
      <c r="AR12" s="11">
        <f t="shared" si="4"/>
        <v>0</v>
      </c>
      <c r="AS12" s="11">
        <f t="shared" si="4"/>
        <v>0</v>
      </c>
      <c r="AT12" s="11">
        <f t="shared" si="4"/>
        <v>0</v>
      </c>
      <c r="AU12" s="11">
        <f t="shared" si="4"/>
        <v>0</v>
      </c>
      <c r="AV12" s="11">
        <f t="shared" si="4"/>
        <v>0</v>
      </c>
      <c r="AW12" s="11">
        <f t="shared" si="4"/>
        <v>0</v>
      </c>
      <c r="AX12" s="11">
        <f t="shared" si="4"/>
        <v>0</v>
      </c>
      <c r="AY12" s="11">
        <f t="shared" si="4"/>
        <v>0</v>
      </c>
      <c r="AZ12" s="11">
        <f t="shared" si="4"/>
        <v>0</v>
      </c>
      <c r="BA12" s="11">
        <f t="shared" si="4"/>
        <v>0</v>
      </c>
      <c r="BB12" s="11">
        <f t="shared" si="4"/>
        <v>0</v>
      </c>
      <c r="BC12" s="11">
        <f t="shared" si="4"/>
        <v>0</v>
      </c>
      <c r="BD12" s="11">
        <f t="shared" si="4"/>
        <v>0</v>
      </c>
      <c r="BE12" s="11">
        <f t="shared" si="4"/>
        <v>0</v>
      </c>
      <c r="BF12" s="11">
        <f t="shared" si="4"/>
        <v>0</v>
      </c>
      <c r="BG12" s="11">
        <f t="shared" si="4"/>
        <v>0</v>
      </c>
      <c r="BH12" s="11">
        <f t="shared" ref="BH12:CM12" si="5">(VLOOKUP(ROUNDUP(((BH6/12)-2),0),$D$30:$E$36,2))/12</f>
        <v>0</v>
      </c>
      <c r="BI12" s="11">
        <f t="shared" si="5"/>
        <v>0</v>
      </c>
      <c r="BJ12" s="11">
        <f t="shared" si="5"/>
        <v>0</v>
      </c>
      <c r="BK12" s="11">
        <f t="shared" si="5"/>
        <v>0</v>
      </c>
      <c r="BL12" s="11">
        <f t="shared" si="5"/>
        <v>0</v>
      </c>
      <c r="BM12" s="11">
        <f t="shared" si="5"/>
        <v>0</v>
      </c>
      <c r="BN12" s="11">
        <f t="shared" si="5"/>
        <v>0</v>
      </c>
      <c r="BO12" s="11">
        <f t="shared" si="5"/>
        <v>0</v>
      </c>
      <c r="BP12" s="11">
        <f t="shared" si="5"/>
        <v>0</v>
      </c>
      <c r="BQ12" s="11">
        <f t="shared" si="5"/>
        <v>0</v>
      </c>
      <c r="BR12" s="11">
        <f t="shared" si="5"/>
        <v>0</v>
      </c>
      <c r="BS12" s="11">
        <f t="shared" si="5"/>
        <v>0</v>
      </c>
      <c r="BT12" s="11">
        <f t="shared" si="5"/>
        <v>0</v>
      </c>
      <c r="BU12" s="11">
        <f t="shared" si="5"/>
        <v>0</v>
      </c>
      <c r="BV12" s="11">
        <f t="shared" si="5"/>
        <v>0</v>
      </c>
      <c r="BW12" s="11">
        <f t="shared" si="5"/>
        <v>0</v>
      </c>
      <c r="BX12" s="11">
        <f t="shared" si="5"/>
        <v>0</v>
      </c>
      <c r="BY12" s="11">
        <f t="shared" si="5"/>
        <v>0</v>
      </c>
      <c r="BZ12" s="11">
        <f t="shared" si="5"/>
        <v>0</v>
      </c>
      <c r="CA12" s="11">
        <f t="shared" si="5"/>
        <v>0</v>
      </c>
      <c r="CB12" s="11">
        <f t="shared" si="5"/>
        <v>0</v>
      </c>
      <c r="CC12" s="11">
        <f t="shared" si="5"/>
        <v>0</v>
      </c>
      <c r="CD12" s="11">
        <f t="shared" si="5"/>
        <v>0</v>
      </c>
      <c r="CE12" s="11">
        <f t="shared" si="5"/>
        <v>0</v>
      </c>
      <c r="CF12" s="11">
        <f t="shared" si="5"/>
        <v>0</v>
      </c>
      <c r="CG12" s="11">
        <f t="shared" si="5"/>
        <v>0</v>
      </c>
      <c r="CH12" s="11">
        <f t="shared" si="5"/>
        <v>0</v>
      </c>
      <c r="CI12" s="11">
        <f t="shared" si="5"/>
        <v>0</v>
      </c>
      <c r="CJ12" s="11">
        <f t="shared" si="5"/>
        <v>0</v>
      </c>
      <c r="CK12" s="11">
        <f t="shared" si="5"/>
        <v>0</v>
      </c>
      <c r="CL12" s="11">
        <f t="shared" si="5"/>
        <v>0</v>
      </c>
      <c r="CM12" s="11">
        <f t="shared" si="5"/>
        <v>0</v>
      </c>
      <c r="CN12" s="11">
        <f t="shared" ref="CN12:DS12" si="6">(VLOOKUP(ROUNDUP(((CN6/12)-2),0),$D$30:$E$36,2))/12</f>
        <v>0</v>
      </c>
      <c r="CO12" s="11">
        <f t="shared" si="6"/>
        <v>0</v>
      </c>
      <c r="CP12" s="11">
        <f t="shared" si="6"/>
        <v>0</v>
      </c>
      <c r="CQ12" s="11">
        <f t="shared" si="6"/>
        <v>0</v>
      </c>
      <c r="CR12" s="11">
        <f t="shared" si="6"/>
        <v>0</v>
      </c>
      <c r="CS12" s="11">
        <f t="shared" si="6"/>
        <v>0</v>
      </c>
      <c r="CT12" s="11">
        <f t="shared" si="6"/>
        <v>0</v>
      </c>
      <c r="CU12" s="11">
        <f t="shared" si="6"/>
        <v>0</v>
      </c>
      <c r="CV12" s="11">
        <f t="shared" si="6"/>
        <v>0</v>
      </c>
      <c r="CW12" s="11">
        <f t="shared" si="6"/>
        <v>0</v>
      </c>
      <c r="CX12" s="11">
        <f t="shared" si="6"/>
        <v>0</v>
      </c>
      <c r="CY12" s="11">
        <f t="shared" si="6"/>
        <v>0</v>
      </c>
      <c r="CZ12" s="11">
        <f t="shared" si="6"/>
        <v>0</v>
      </c>
      <c r="DA12" s="11">
        <f t="shared" si="6"/>
        <v>0</v>
      </c>
      <c r="DB12" s="11">
        <f t="shared" si="6"/>
        <v>0</v>
      </c>
      <c r="DC12" s="11">
        <f t="shared" si="6"/>
        <v>0</v>
      </c>
      <c r="DD12" s="11">
        <f t="shared" si="6"/>
        <v>0</v>
      </c>
      <c r="DE12" s="11">
        <f t="shared" si="6"/>
        <v>0</v>
      </c>
      <c r="DF12" s="11">
        <f t="shared" si="6"/>
        <v>0</v>
      </c>
      <c r="DG12" s="11">
        <f t="shared" si="6"/>
        <v>0</v>
      </c>
      <c r="DH12" s="11">
        <f t="shared" si="6"/>
        <v>0</v>
      </c>
      <c r="DI12" s="11">
        <f t="shared" si="6"/>
        <v>0</v>
      </c>
      <c r="DJ12" s="11">
        <f t="shared" si="6"/>
        <v>0</v>
      </c>
      <c r="DK12" s="11">
        <f t="shared" si="6"/>
        <v>0</v>
      </c>
      <c r="DL12" s="11">
        <f t="shared" si="6"/>
        <v>0</v>
      </c>
      <c r="DM12" s="11">
        <f t="shared" si="6"/>
        <v>0</v>
      </c>
      <c r="DN12" s="11">
        <f t="shared" si="6"/>
        <v>0</v>
      </c>
      <c r="DO12" s="11">
        <f t="shared" si="6"/>
        <v>0</v>
      </c>
      <c r="DP12" s="11">
        <f t="shared" si="6"/>
        <v>0</v>
      </c>
      <c r="DQ12" s="11">
        <f t="shared" si="6"/>
        <v>0</v>
      </c>
      <c r="DR12" s="11">
        <f t="shared" si="6"/>
        <v>0</v>
      </c>
      <c r="DS12" s="11">
        <f t="shared" si="6"/>
        <v>0</v>
      </c>
      <c r="DT12" s="11">
        <f t="shared" ref="DT12:EY12" si="7">(VLOOKUP(ROUNDUP(((DT6/12)-2),0),$D$30:$E$36,2))/12</f>
        <v>0</v>
      </c>
      <c r="DU12" s="11">
        <f t="shared" si="7"/>
        <v>0</v>
      </c>
      <c r="DV12" s="11">
        <f t="shared" si="7"/>
        <v>0</v>
      </c>
      <c r="DW12" s="11">
        <f t="shared" si="7"/>
        <v>0</v>
      </c>
      <c r="DX12" s="11">
        <f t="shared" si="7"/>
        <v>0</v>
      </c>
      <c r="DY12" s="11">
        <f t="shared" si="7"/>
        <v>0</v>
      </c>
      <c r="DZ12" s="11">
        <f t="shared" si="7"/>
        <v>0</v>
      </c>
      <c r="EA12" s="11">
        <f t="shared" si="7"/>
        <v>0</v>
      </c>
      <c r="EB12" s="11">
        <f t="shared" si="7"/>
        <v>0</v>
      </c>
      <c r="EC12" s="11">
        <f t="shared" si="7"/>
        <v>0</v>
      </c>
      <c r="ED12" s="11">
        <f t="shared" si="7"/>
        <v>0</v>
      </c>
      <c r="EE12" s="11">
        <f t="shared" si="7"/>
        <v>0</v>
      </c>
      <c r="EF12" s="11">
        <f t="shared" si="7"/>
        <v>0</v>
      </c>
      <c r="EG12" s="11">
        <f t="shared" si="7"/>
        <v>0</v>
      </c>
      <c r="EH12" s="11">
        <f t="shared" si="7"/>
        <v>0</v>
      </c>
      <c r="EI12" s="11">
        <f t="shared" si="7"/>
        <v>0</v>
      </c>
      <c r="EJ12" s="11">
        <f t="shared" si="7"/>
        <v>0</v>
      </c>
      <c r="EK12" s="11">
        <f t="shared" si="7"/>
        <v>0</v>
      </c>
      <c r="EL12" s="11">
        <f t="shared" si="7"/>
        <v>0</v>
      </c>
      <c r="EM12" s="11">
        <f t="shared" si="7"/>
        <v>0</v>
      </c>
      <c r="EN12" s="11">
        <f t="shared" si="7"/>
        <v>0</v>
      </c>
      <c r="EO12" s="11">
        <f t="shared" si="7"/>
        <v>0</v>
      </c>
      <c r="EP12" s="11">
        <f t="shared" si="7"/>
        <v>0</v>
      </c>
      <c r="EQ12" s="11">
        <f t="shared" si="7"/>
        <v>0</v>
      </c>
      <c r="ER12" s="11">
        <f t="shared" si="7"/>
        <v>0</v>
      </c>
      <c r="ES12" s="11">
        <f t="shared" si="7"/>
        <v>0</v>
      </c>
      <c r="ET12" s="11">
        <f t="shared" si="7"/>
        <v>0</v>
      </c>
      <c r="EU12" s="11">
        <f t="shared" si="7"/>
        <v>0</v>
      </c>
      <c r="EV12" s="11">
        <f t="shared" si="7"/>
        <v>0</v>
      </c>
      <c r="EW12" s="11">
        <f t="shared" si="7"/>
        <v>0</v>
      </c>
      <c r="EX12" s="11">
        <f t="shared" si="7"/>
        <v>0</v>
      </c>
      <c r="EY12" s="11">
        <f t="shared" si="7"/>
        <v>0</v>
      </c>
      <c r="EZ12" s="11">
        <f t="shared" ref="EZ12:FH12" si="8">(VLOOKUP(ROUNDUP(((EZ6/12)-2),0),$D$30:$E$36,2))/12</f>
        <v>0</v>
      </c>
      <c r="FA12" s="11">
        <f t="shared" si="8"/>
        <v>0</v>
      </c>
      <c r="FB12" s="11">
        <f t="shared" si="8"/>
        <v>0</v>
      </c>
      <c r="FC12" s="11">
        <f t="shared" si="8"/>
        <v>0</v>
      </c>
      <c r="FD12" s="11">
        <f t="shared" si="8"/>
        <v>0</v>
      </c>
      <c r="FE12" s="11">
        <f t="shared" si="8"/>
        <v>0</v>
      </c>
      <c r="FF12" s="11">
        <f t="shared" si="8"/>
        <v>0</v>
      </c>
      <c r="FG12" s="11">
        <f t="shared" si="8"/>
        <v>0</v>
      </c>
      <c r="FH12" s="11">
        <f t="shared" si="8"/>
        <v>0</v>
      </c>
    </row>
    <row r="13" spans="1:164" s="1" customFormat="1" x14ac:dyDescent="0.2">
      <c r="A13" s="1" t="s">
        <v>21</v>
      </c>
      <c r="C13" s="26">
        <f t="shared" ref="C13:AH13" si="9">SUM(C9:C12)</f>
        <v>0</v>
      </c>
      <c r="D13" s="26">
        <f t="shared" si="9"/>
        <v>0</v>
      </c>
      <c r="E13" s="26">
        <f t="shared" si="9"/>
        <v>0</v>
      </c>
      <c r="F13" s="26">
        <f t="shared" si="9"/>
        <v>0</v>
      </c>
      <c r="G13" s="26">
        <f t="shared" si="9"/>
        <v>0</v>
      </c>
      <c r="H13" s="26">
        <f t="shared" si="9"/>
        <v>0</v>
      </c>
      <c r="I13" s="26">
        <f t="shared" si="9"/>
        <v>0</v>
      </c>
      <c r="J13" s="26">
        <f t="shared" si="9"/>
        <v>0</v>
      </c>
      <c r="K13" s="26">
        <f t="shared" si="9"/>
        <v>0</v>
      </c>
      <c r="L13" s="26">
        <f t="shared" si="9"/>
        <v>0</v>
      </c>
      <c r="M13" s="26">
        <f t="shared" si="9"/>
        <v>0</v>
      </c>
      <c r="N13" s="26">
        <f t="shared" si="9"/>
        <v>0</v>
      </c>
      <c r="O13" s="26">
        <f t="shared" si="9"/>
        <v>0</v>
      </c>
      <c r="P13" s="26">
        <f t="shared" si="9"/>
        <v>0</v>
      </c>
      <c r="Q13" s="26">
        <f t="shared" si="9"/>
        <v>0</v>
      </c>
      <c r="R13" s="26">
        <f t="shared" si="9"/>
        <v>0</v>
      </c>
      <c r="S13" s="26">
        <f t="shared" si="9"/>
        <v>0</v>
      </c>
      <c r="T13" s="26">
        <f t="shared" si="9"/>
        <v>0</v>
      </c>
      <c r="U13" s="26">
        <f t="shared" si="9"/>
        <v>0</v>
      </c>
      <c r="V13" s="26">
        <f t="shared" si="9"/>
        <v>0</v>
      </c>
      <c r="W13" s="26">
        <f t="shared" si="9"/>
        <v>0</v>
      </c>
      <c r="X13" s="26">
        <f t="shared" si="9"/>
        <v>0</v>
      </c>
      <c r="Y13" s="26">
        <f t="shared" si="9"/>
        <v>0</v>
      </c>
      <c r="Z13" s="26">
        <f t="shared" si="9"/>
        <v>0</v>
      </c>
      <c r="AA13" s="26">
        <f t="shared" si="9"/>
        <v>0</v>
      </c>
      <c r="AB13" s="26">
        <f t="shared" si="9"/>
        <v>0</v>
      </c>
      <c r="AC13" s="26">
        <f t="shared" si="9"/>
        <v>0</v>
      </c>
      <c r="AD13" s="26">
        <f t="shared" si="9"/>
        <v>0</v>
      </c>
      <c r="AE13" s="26">
        <f t="shared" si="9"/>
        <v>0</v>
      </c>
      <c r="AF13" s="26">
        <f t="shared" si="9"/>
        <v>0</v>
      </c>
      <c r="AG13" s="26">
        <f t="shared" si="9"/>
        <v>0</v>
      </c>
      <c r="AH13" s="26">
        <f t="shared" si="9"/>
        <v>0</v>
      </c>
      <c r="AI13" s="26">
        <f t="shared" ref="AI13:CT13" si="10">SUM(AI9:AI12)</f>
        <v>0</v>
      </c>
      <c r="AJ13" s="26">
        <f t="shared" si="10"/>
        <v>0</v>
      </c>
      <c r="AK13" s="26">
        <f t="shared" si="10"/>
        <v>0</v>
      </c>
      <c r="AL13" s="26">
        <f t="shared" si="10"/>
        <v>0</v>
      </c>
      <c r="AM13" s="26">
        <f t="shared" si="10"/>
        <v>0</v>
      </c>
      <c r="AN13" s="26">
        <f t="shared" si="10"/>
        <v>0</v>
      </c>
      <c r="AO13" s="26">
        <f t="shared" si="10"/>
        <v>0</v>
      </c>
      <c r="AP13" s="26">
        <f t="shared" si="10"/>
        <v>0</v>
      </c>
      <c r="AQ13" s="26">
        <f t="shared" si="10"/>
        <v>0</v>
      </c>
      <c r="AR13" s="26">
        <f t="shared" si="10"/>
        <v>0</v>
      </c>
      <c r="AS13" s="26">
        <f t="shared" si="10"/>
        <v>0</v>
      </c>
      <c r="AT13" s="26">
        <f t="shared" si="10"/>
        <v>0</v>
      </c>
      <c r="AU13" s="26">
        <f t="shared" si="10"/>
        <v>0</v>
      </c>
      <c r="AV13" s="26">
        <f t="shared" si="10"/>
        <v>0</v>
      </c>
      <c r="AW13" s="26">
        <f t="shared" si="10"/>
        <v>0</v>
      </c>
      <c r="AX13" s="26">
        <f t="shared" si="10"/>
        <v>0</v>
      </c>
      <c r="AY13" s="26">
        <f t="shared" si="10"/>
        <v>0</v>
      </c>
      <c r="AZ13" s="26">
        <f t="shared" si="10"/>
        <v>0</v>
      </c>
      <c r="BA13" s="26">
        <f t="shared" si="10"/>
        <v>0</v>
      </c>
      <c r="BB13" s="26">
        <f t="shared" si="10"/>
        <v>0</v>
      </c>
      <c r="BC13" s="26">
        <f t="shared" si="10"/>
        <v>0</v>
      </c>
      <c r="BD13" s="26">
        <f t="shared" si="10"/>
        <v>0</v>
      </c>
      <c r="BE13" s="26">
        <f t="shared" si="10"/>
        <v>0</v>
      </c>
      <c r="BF13" s="26">
        <f t="shared" si="10"/>
        <v>0</v>
      </c>
      <c r="BG13" s="26">
        <f t="shared" si="10"/>
        <v>0</v>
      </c>
      <c r="BH13" s="26">
        <f t="shared" si="10"/>
        <v>0</v>
      </c>
      <c r="BI13" s="26">
        <f t="shared" si="10"/>
        <v>0</v>
      </c>
      <c r="BJ13" s="26">
        <f t="shared" si="10"/>
        <v>0</v>
      </c>
      <c r="BK13" s="26">
        <f t="shared" si="10"/>
        <v>0</v>
      </c>
      <c r="BL13" s="26">
        <f t="shared" si="10"/>
        <v>0</v>
      </c>
      <c r="BM13" s="26">
        <f t="shared" si="10"/>
        <v>0</v>
      </c>
      <c r="BN13" s="26">
        <f t="shared" si="10"/>
        <v>0</v>
      </c>
      <c r="BO13" s="26">
        <f t="shared" si="10"/>
        <v>0</v>
      </c>
      <c r="BP13" s="26">
        <f t="shared" si="10"/>
        <v>0</v>
      </c>
      <c r="BQ13" s="26">
        <f t="shared" si="10"/>
        <v>0</v>
      </c>
      <c r="BR13" s="26">
        <f t="shared" si="10"/>
        <v>0</v>
      </c>
      <c r="BS13" s="26">
        <f t="shared" si="10"/>
        <v>0</v>
      </c>
      <c r="BT13" s="26">
        <f t="shared" si="10"/>
        <v>0</v>
      </c>
      <c r="BU13" s="26">
        <f t="shared" si="10"/>
        <v>0</v>
      </c>
      <c r="BV13" s="26">
        <f t="shared" si="10"/>
        <v>0</v>
      </c>
      <c r="BW13" s="26">
        <f t="shared" si="10"/>
        <v>0</v>
      </c>
      <c r="BX13" s="26">
        <f t="shared" si="10"/>
        <v>0</v>
      </c>
      <c r="BY13" s="26">
        <f t="shared" si="10"/>
        <v>0</v>
      </c>
      <c r="BZ13" s="26">
        <f t="shared" si="10"/>
        <v>0</v>
      </c>
      <c r="CA13" s="26">
        <f t="shared" si="10"/>
        <v>0</v>
      </c>
      <c r="CB13" s="26">
        <f t="shared" si="10"/>
        <v>0</v>
      </c>
      <c r="CC13" s="26">
        <f t="shared" si="10"/>
        <v>0</v>
      </c>
      <c r="CD13" s="26">
        <f t="shared" si="10"/>
        <v>0</v>
      </c>
      <c r="CE13" s="26">
        <f t="shared" si="10"/>
        <v>0</v>
      </c>
      <c r="CF13" s="26">
        <f t="shared" si="10"/>
        <v>0</v>
      </c>
      <c r="CG13" s="26">
        <f t="shared" si="10"/>
        <v>0</v>
      </c>
      <c r="CH13" s="26">
        <f t="shared" si="10"/>
        <v>0</v>
      </c>
      <c r="CI13" s="26">
        <f t="shared" si="10"/>
        <v>0</v>
      </c>
      <c r="CJ13" s="26">
        <f t="shared" si="10"/>
        <v>0</v>
      </c>
      <c r="CK13" s="26">
        <f t="shared" si="10"/>
        <v>0</v>
      </c>
      <c r="CL13" s="26">
        <f t="shared" si="10"/>
        <v>0</v>
      </c>
      <c r="CM13" s="26">
        <f t="shared" si="10"/>
        <v>0</v>
      </c>
      <c r="CN13" s="26">
        <f t="shared" si="10"/>
        <v>0</v>
      </c>
      <c r="CO13" s="26">
        <f t="shared" si="10"/>
        <v>0</v>
      </c>
      <c r="CP13" s="26">
        <f t="shared" si="10"/>
        <v>0</v>
      </c>
      <c r="CQ13" s="26">
        <f t="shared" si="10"/>
        <v>0</v>
      </c>
      <c r="CR13" s="26">
        <f t="shared" si="10"/>
        <v>0</v>
      </c>
      <c r="CS13" s="26">
        <f t="shared" si="10"/>
        <v>0</v>
      </c>
      <c r="CT13" s="26">
        <f t="shared" si="10"/>
        <v>0</v>
      </c>
      <c r="CU13" s="26">
        <f t="shared" ref="CU13:FF13" si="11">SUM(CU9:CU12)</f>
        <v>0</v>
      </c>
      <c r="CV13" s="26">
        <f t="shared" si="11"/>
        <v>0</v>
      </c>
      <c r="CW13" s="26">
        <f t="shared" si="11"/>
        <v>0</v>
      </c>
      <c r="CX13" s="26">
        <f t="shared" si="11"/>
        <v>0</v>
      </c>
      <c r="CY13" s="26">
        <f t="shared" si="11"/>
        <v>0</v>
      </c>
      <c r="CZ13" s="26">
        <f t="shared" si="11"/>
        <v>0</v>
      </c>
      <c r="DA13" s="26">
        <f t="shared" si="11"/>
        <v>0</v>
      </c>
      <c r="DB13" s="26">
        <f t="shared" si="11"/>
        <v>0</v>
      </c>
      <c r="DC13" s="26">
        <f t="shared" si="11"/>
        <v>0</v>
      </c>
      <c r="DD13" s="26">
        <f t="shared" si="11"/>
        <v>0</v>
      </c>
      <c r="DE13" s="26">
        <f t="shared" si="11"/>
        <v>0</v>
      </c>
      <c r="DF13" s="26">
        <f t="shared" si="11"/>
        <v>0</v>
      </c>
      <c r="DG13" s="26">
        <f t="shared" si="11"/>
        <v>0</v>
      </c>
      <c r="DH13" s="26">
        <f t="shared" si="11"/>
        <v>0</v>
      </c>
      <c r="DI13" s="26">
        <f t="shared" si="11"/>
        <v>0</v>
      </c>
      <c r="DJ13" s="26">
        <f t="shared" si="11"/>
        <v>0</v>
      </c>
      <c r="DK13" s="26">
        <f t="shared" si="11"/>
        <v>0</v>
      </c>
      <c r="DL13" s="26">
        <f t="shared" si="11"/>
        <v>0</v>
      </c>
      <c r="DM13" s="26">
        <f t="shared" si="11"/>
        <v>0</v>
      </c>
      <c r="DN13" s="26">
        <f t="shared" si="11"/>
        <v>0</v>
      </c>
      <c r="DO13" s="26">
        <f t="shared" si="11"/>
        <v>0</v>
      </c>
      <c r="DP13" s="26">
        <f t="shared" si="11"/>
        <v>0</v>
      </c>
      <c r="DQ13" s="26">
        <f t="shared" si="11"/>
        <v>0</v>
      </c>
      <c r="DR13" s="26">
        <f t="shared" si="11"/>
        <v>0</v>
      </c>
      <c r="DS13" s="26">
        <f t="shared" si="11"/>
        <v>0</v>
      </c>
      <c r="DT13" s="26">
        <f t="shared" si="11"/>
        <v>0</v>
      </c>
      <c r="DU13" s="26">
        <f t="shared" si="11"/>
        <v>0</v>
      </c>
      <c r="DV13" s="26">
        <f t="shared" si="11"/>
        <v>0</v>
      </c>
      <c r="DW13" s="26">
        <f t="shared" si="11"/>
        <v>0</v>
      </c>
      <c r="DX13" s="26">
        <f t="shared" si="11"/>
        <v>0</v>
      </c>
      <c r="DY13" s="26">
        <f t="shared" si="11"/>
        <v>0</v>
      </c>
      <c r="DZ13" s="26">
        <f t="shared" si="11"/>
        <v>0</v>
      </c>
      <c r="EA13" s="26">
        <f t="shared" si="11"/>
        <v>0</v>
      </c>
      <c r="EB13" s="26">
        <f t="shared" si="11"/>
        <v>0</v>
      </c>
      <c r="EC13" s="26">
        <f t="shared" si="11"/>
        <v>0</v>
      </c>
      <c r="ED13" s="26">
        <f t="shared" si="11"/>
        <v>0</v>
      </c>
      <c r="EE13" s="26">
        <f t="shared" si="11"/>
        <v>0</v>
      </c>
      <c r="EF13" s="26">
        <f t="shared" si="11"/>
        <v>0</v>
      </c>
      <c r="EG13" s="26">
        <f t="shared" si="11"/>
        <v>0</v>
      </c>
      <c r="EH13" s="26">
        <f t="shared" si="11"/>
        <v>0</v>
      </c>
      <c r="EI13" s="26">
        <f t="shared" si="11"/>
        <v>0</v>
      </c>
      <c r="EJ13" s="26">
        <f t="shared" si="11"/>
        <v>0</v>
      </c>
      <c r="EK13" s="26">
        <f t="shared" si="11"/>
        <v>0</v>
      </c>
      <c r="EL13" s="26">
        <f t="shared" si="11"/>
        <v>0</v>
      </c>
      <c r="EM13" s="26">
        <f t="shared" si="11"/>
        <v>0</v>
      </c>
      <c r="EN13" s="26">
        <f t="shared" si="11"/>
        <v>0</v>
      </c>
      <c r="EO13" s="26">
        <f t="shared" si="11"/>
        <v>0</v>
      </c>
      <c r="EP13" s="26">
        <f t="shared" si="11"/>
        <v>0</v>
      </c>
      <c r="EQ13" s="26">
        <f t="shared" si="11"/>
        <v>0</v>
      </c>
      <c r="ER13" s="26">
        <f t="shared" si="11"/>
        <v>0</v>
      </c>
      <c r="ES13" s="26">
        <f t="shared" si="11"/>
        <v>0</v>
      </c>
      <c r="ET13" s="26">
        <f t="shared" si="11"/>
        <v>0</v>
      </c>
      <c r="EU13" s="26">
        <f t="shared" si="11"/>
        <v>0</v>
      </c>
      <c r="EV13" s="26">
        <f t="shared" si="11"/>
        <v>0</v>
      </c>
      <c r="EW13" s="26">
        <f t="shared" si="11"/>
        <v>0</v>
      </c>
      <c r="EX13" s="26">
        <f t="shared" si="11"/>
        <v>0</v>
      </c>
      <c r="EY13" s="26">
        <f t="shared" si="11"/>
        <v>0</v>
      </c>
      <c r="EZ13" s="26">
        <f t="shared" si="11"/>
        <v>0</v>
      </c>
      <c r="FA13" s="26">
        <f t="shared" si="11"/>
        <v>0</v>
      </c>
      <c r="FB13" s="26">
        <f t="shared" si="11"/>
        <v>0</v>
      </c>
      <c r="FC13" s="26">
        <f t="shared" si="11"/>
        <v>0</v>
      </c>
      <c r="FD13" s="26">
        <f t="shared" si="11"/>
        <v>0</v>
      </c>
      <c r="FE13" s="26">
        <f t="shared" si="11"/>
        <v>0</v>
      </c>
      <c r="FF13" s="26">
        <f t="shared" si="11"/>
        <v>0</v>
      </c>
      <c r="FG13" s="26">
        <f t="shared" ref="FG13:FH13" si="12">SUM(FG9:FG12)</f>
        <v>0</v>
      </c>
      <c r="FH13" s="26">
        <f t="shared" si="12"/>
        <v>0</v>
      </c>
    </row>
    <row r="14" spans="1:164" s="1" customFormat="1" x14ac:dyDescent="0.2">
      <c r="C14" s="9"/>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row>
    <row r="15" spans="1:164" s="1" customFormat="1" x14ac:dyDescent="0.2">
      <c r="A15" s="1" t="s">
        <v>28</v>
      </c>
    </row>
    <row r="16" spans="1:164" x14ac:dyDescent="0.2">
      <c r="A16" t="s">
        <v>23</v>
      </c>
      <c r="C16" s="11">
        <f>-COSTS_Master!C25</f>
        <v>-8000</v>
      </c>
      <c r="D16" s="25"/>
      <c r="E16" s="25"/>
      <c r="F16" s="25"/>
      <c r="G16" s="11">
        <f>-COSTS_Master!D25</f>
        <v>0</v>
      </c>
      <c r="H16" s="25"/>
      <c r="I16" s="11"/>
      <c r="J16" s="25"/>
      <c r="K16" s="11">
        <f>-COSTS_Master!E25</f>
        <v>0</v>
      </c>
      <c r="L16" s="25"/>
      <c r="M16" s="25"/>
      <c r="N16" s="25"/>
      <c r="O16" s="11">
        <f>-COSTS_Master!H25</f>
        <v>0</v>
      </c>
      <c r="P16" s="25"/>
      <c r="Q16" s="25"/>
      <c r="R16" s="25"/>
      <c r="S16" s="11">
        <f>-COSTS_Master!I25</f>
        <v>0</v>
      </c>
      <c r="T16" s="25"/>
      <c r="U16" s="11"/>
      <c r="V16" s="25"/>
      <c r="W16" s="11">
        <f>-COSTS_Master!J25</f>
        <v>0</v>
      </c>
      <c r="X16" s="25"/>
      <c r="Y16" s="25"/>
      <c r="Z16" s="25"/>
      <c r="AA16" s="11">
        <f>-COSTS_Master!N25</f>
        <v>0</v>
      </c>
      <c r="AB16" s="25"/>
      <c r="AC16" s="25"/>
      <c r="AD16" s="25"/>
      <c r="AE16" s="11">
        <f>-COSTS_Master!O25</f>
        <v>0</v>
      </c>
      <c r="AF16" s="25"/>
      <c r="AG16" s="11">
        <f>IF($L$2=0,(-0.5*$B$29),"")</f>
        <v>-4000</v>
      </c>
      <c r="AH16" s="25"/>
      <c r="AI16" s="11">
        <f>-COSTS_Master!P25</f>
        <v>0</v>
      </c>
      <c r="AJ16" s="25"/>
      <c r="AK16" s="25"/>
      <c r="AL16" s="25"/>
      <c r="AM16" s="11">
        <f>-COSTS_Master!S25</f>
        <v>0</v>
      </c>
      <c r="AN16" s="25"/>
      <c r="AO16" s="25"/>
      <c r="AP16" s="25"/>
      <c r="AQ16" s="11">
        <f>-COSTS_Master!T25</f>
        <v>0</v>
      </c>
      <c r="AR16" s="25"/>
      <c r="AS16" s="11">
        <f>IF($L$2=0,(-0.5*$B$29),"")</f>
        <v>-4000</v>
      </c>
      <c r="AT16" s="25"/>
      <c r="AU16" s="11">
        <f>-COSTS_Master!U25</f>
        <v>0</v>
      </c>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row>
    <row r="17" spans="1:164" x14ac:dyDescent="0.2">
      <c r="A17" s="3" t="s">
        <v>24</v>
      </c>
      <c r="C17" s="25"/>
      <c r="D17" s="12">
        <f t="shared" ref="D17:BO17" si="13">-$B$30</f>
        <v>0</v>
      </c>
      <c r="E17" s="12">
        <f t="shared" si="13"/>
        <v>0</v>
      </c>
      <c r="F17" s="12">
        <f t="shared" si="13"/>
        <v>0</v>
      </c>
      <c r="G17" s="12">
        <f t="shared" si="13"/>
        <v>0</v>
      </c>
      <c r="H17" s="12">
        <f t="shared" si="13"/>
        <v>0</v>
      </c>
      <c r="I17" s="12">
        <f t="shared" si="13"/>
        <v>0</v>
      </c>
      <c r="J17" s="12">
        <f t="shared" si="13"/>
        <v>0</v>
      </c>
      <c r="K17" s="12">
        <f t="shared" si="13"/>
        <v>0</v>
      </c>
      <c r="L17" s="12">
        <f t="shared" si="13"/>
        <v>0</v>
      </c>
      <c r="M17" s="12">
        <f t="shared" si="13"/>
        <v>0</v>
      </c>
      <c r="N17" s="12">
        <f t="shared" si="13"/>
        <v>0</v>
      </c>
      <c r="O17" s="12">
        <f t="shared" si="13"/>
        <v>0</v>
      </c>
      <c r="P17" s="12">
        <f t="shared" si="13"/>
        <v>0</v>
      </c>
      <c r="Q17" s="12">
        <f t="shared" si="13"/>
        <v>0</v>
      </c>
      <c r="R17" s="12">
        <f t="shared" si="13"/>
        <v>0</v>
      </c>
      <c r="S17" s="12">
        <f t="shared" si="13"/>
        <v>0</v>
      </c>
      <c r="T17" s="12">
        <f t="shared" si="13"/>
        <v>0</v>
      </c>
      <c r="U17" s="12">
        <f t="shared" si="13"/>
        <v>0</v>
      </c>
      <c r="V17" s="12">
        <f t="shared" si="13"/>
        <v>0</v>
      </c>
      <c r="W17" s="12">
        <f t="shared" si="13"/>
        <v>0</v>
      </c>
      <c r="X17" s="12">
        <f t="shared" si="13"/>
        <v>0</v>
      </c>
      <c r="Y17" s="12">
        <f t="shared" si="13"/>
        <v>0</v>
      </c>
      <c r="Z17" s="12">
        <f t="shared" si="13"/>
        <v>0</v>
      </c>
      <c r="AA17" s="12">
        <f t="shared" si="13"/>
        <v>0</v>
      </c>
      <c r="AB17" s="12">
        <f t="shared" si="13"/>
        <v>0</v>
      </c>
      <c r="AC17" s="12">
        <f t="shared" si="13"/>
        <v>0</v>
      </c>
      <c r="AD17" s="12">
        <f t="shared" si="13"/>
        <v>0</v>
      </c>
      <c r="AE17" s="12">
        <f t="shared" si="13"/>
        <v>0</v>
      </c>
      <c r="AF17" s="12">
        <f t="shared" si="13"/>
        <v>0</v>
      </c>
      <c r="AG17" s="12">
        <f t="shared" si="13"/>
        <v>0</v>
      </c>
      <c r="AH17" s="12">
        <f t="shared" si="13"/>
        <v>0</v>
      </c>
      <c r="AI17" s="12">
        <f t="shared" si="13"/>
        <v>0</v>
      </c>
      <c r="AJ17" s="12">
        <f t="shared" si="13"/>
        <v>0</v>
      </c>
      <c r="AK17" s="12">
        <f t="shared" si="13"/>
        <v>0</v>
      </c>
      <c r="AL17" s="12">
        <f t="shared" si="13"/>
        <v>0</v>
      </c>
      <c r="AM17" s="12">
        <f t="shared" si="13"/>
        <v>0</v>
      </c>
      <c r="AN17" s="12">
        <f t="shared" si="13"/>
        <v>0</v>
      </c>
      <c r="AO17" s="12">
        <f t="shared" si="13"/>
        <v>0</v>
      </c>
      <c r="AP17" s="12">
        <f t="shared" si="13"/>
        <v>0</v>
      </c>
      <c r="AQ17" s="12">
        <f t="shared" si="13"/>
        <v>0</v>
      </c>
      <c r="AR17" s="12">
        <f t="shared" si="13"/>
        <v>0</v>
      </c>
      <c r="AS17" s="12">
        <f t="shared" si="13"/>
        <v>0</v>
      </c>
      <c r="AT17" s="12">
        <f t="shared" si="13"/>
        <v>0</v>
      </c>
      <c r="AU17" s="12">
        <f t="shared" si="13"/>
        <v>0</v>
      </c>
      <c r="AV17" s="12">
        <f t="shared" si="13"/>
        <v>0</v>
      </c>
      <c r="AW17" s="12">
        <f t="shared" si="13"/>
        <v>0</v>
      </c>
      <c r="AX17" s="12">
        <f t="shared" si="13"/>
        <v>0</v>
      </c>
      <c r="AY17" s="12">
        <f t="shared" si="13"/>
        <v>0</v>
      </c>
      <c r="AZ17" s="12">
        <f t="shared" si="13"/>
        <v>0</v>
      </c>
      <c r="BA17" s="12">
        <f t="shared" si="13"/>
        <v>0</v>
      </c>
      <c r="BB17" s="12">
        <f t="shared" si="13"/>
        <v>0</v>
      </c>
      <c r="BC17" s="12">
        <f t="shared" si="13"/>
        <v>0</v>
      </c>
      <c r="BD17" s="12">
        <f t="shared" si="13"/>
        <v>0</v>
      </c>
      <c r="BE17" s="12">
        <f t="shared" si="13"/>
        <v>0</v>
      </c>
      <c r="BF17" s="12">
        <f t="shared" si="13"/>
        <v>0</v>
      </c>
      <c r="BG17" s="12">
        <f t="shared" si="13"/>
        <v>0</v>
      </c>
      <c r="BH17" s="12">
        <f t="shared" si="13"/>
        <v>0</v>
      </c>
      <c r="BI17" s="12">
        <f t="shared" si="13"/>
        <v>0</v>
      </c>
      <c r="BJ17" s="12">
        <f t="shared" si="13"/>
        <v>0</v>
      </c>
      <c r="BK17" s="12">
        <f t="shared" si="13"/>
        <v>0</v>
      </c>
      <c r="BL17" s="12">
        <f t="shared" si="13"/>
        <v>0</v>
      </c>
      <c r="BM17" s="12">
        <f t="shared" si="13"/>
        <v>0</v>
      </c>
      <c r="BN17" s="12">
        <f t="shared" si="13"/>
        <v>0</v>
      </c>
      <c r="BO17" s="12">
        <f t="shared" si="13"/>
        <v>0</v>
      </c>
      <c r="BP17" s="12">
        <f t="shared" ref="BP17:EA17" si="14">-$B$30</f>
        <v>0</v>
      </c>
      <c r="BQ17" s="12">
        <f t="shared" si="14"/>
        <v>0</v>
      </c>
      <c r="BR17" s="12">
        <f t="shared" si="14"/>
        <v>0</v>
      </c>
      <c r="BS17" s="12">
        <f t="shared" si="14"/>
        <v>0</v>
      </c>
      <c r="BT17" s="12">
        <f t="shared" si="14"/>
        <v>0</v>
      </c>
      <c r="BU17" s="12">
        <f t="shared" si="14"/>
        <v>0</v>
      </c>
      <c r="BV17" s="12">
        <f t="shared" si="14"/>
        <v>0</v>
      </c>
      <c r="BW17" s="12">
        <f t="shared" si="14"/>
        <v>0</v>
      </c>
      <c r="BX17" s="12">
        <f t="shared" si="14"/>
        <v>0</v>
      </c>
      <c r="BY17" s="12">
        <f t="shared" si="14"/>
        <v>0</v>
      </c>
      <c r="BZ17" s="12">
        <f t="shared" si="14"/>
        <v>0</v>
      </c>
      <c r="CA17" s="12">
        <f t="shared" si="14"/>
        <v>0</v>
      </c>
      <c r="CB17" s="12">
        <f t="shared" si="14"/>
        <v>0</v>
      </c>
      <c r="CC17" s="12">
        <f t="shared" si="14"/>
        <v>0</v>
      </c>
      <c r="CD17" s="12">
        <f t="shared" si="14"/>
        <v>0</v>
      </c>
      <c r="CE17" s="12">
        <f t="shared" si="14"/>
        <v>0</v>
      </c>
      <c r="CF17" s="12">
        <f t="shared" si="14"/>
        <v>0</v>
      </c>
      <c r="CG17" s="12">
        <f t="shared" si="14"/>
        <v>0</v>
      </c>
      <c r="CH17" s="12">
        <f t="shared" si="14"/>
        <v>0</v>
      </c>
      <c r="CI17" s="12">
        <f t="shared" si="14"/>
        <v>0</v>
      </c>
      <c r="CJ17" s="12">
        <f t="shared" si="14"/>
        <v>0</v>
      </c>
      <c r="CK17" s="12">
        <f t="shared" si="14"/>
        <v>0</v>
      </c>
      <c r="CL17" s="12">
        <f t="shared" si="14"/>
        <v>0</v>
      </c>
      <c r="CM17" s="12">
        <f t="shared" si="14"/>
        <v>0</v>
      </c>
      <c r="CN17" s="12">
        <f t="shared" si="14"/>
        <v>0</v>
      </c>
      <c r="CO17" s="12">
        <f t="shared" si="14"/>
        <v>0</v>
      </c>
      <c r="CP17" s="12">
        <f t="shared" si="14"/>
        <v>0</v>
      </c>
      <c r="CQ17" s="12">
        <f t="shared" si="14"/>
        <v>0</v>
      </c>
      <c r="CR17" s="12">
        <f t="shared" si="14"/>
        <v>0</v>
      </c>
      <c r="CS17" s="12">
        <f t="shared" si="14"/>
        <v>0</v>
      </c>
      <c r="CT17" s="12">
        <f t="shared" si="14"/>
        <v>0</v>
      </c>
      <c r="CU17" s="12">
        <f t="shared" si="14"/>
        <v>0</v>
      </c>
      <c r="CV17" s="12">
        <f t="shared" si="14"/>
        <v>0</v>
      </c>
      <c r="CW17" s="12">
        <f t="shared" si="14"/>
        <v>0</v>
      </c>
      <c r="CX17" s="12">
        <f t="shared" si="14"/>
        <v>0</v>
      </c>
      <c r="CY17" s="12">
        <f t="shared" si="14"/>
        <v>0</v>
      </c>
      <c r="CZ17" s="12">
        <f t="shared" si="14"/>
        <v>0</v>
      </c>
      <c r="DA17" s="12">
        <f t="shared" si="14"/>
        <v>0</v>
      </c>
      <c r="DB17" s="12">
        <f t="shared" si="14"/>
        <v>0</v>
      </c>
      <c r="DC17" s="12">
        <f t="shared" si="14"/>
        <v>0</v>
      </c>
      <c r="DD17" s="12">
        <f t="shared" si="14"/>
        <v>0</v>
      </c>
      <c r="DE17" s="12">
        <f t="shared" si="14"/>
        <v>0</v>
      </c>
      <c r="DF17" s="12">
        <f t="shared" si="14"/>
        <v>0</v>
      </c>
      <c r="DG17" s="12">
        <f t="shared" si="14"/>
        <v>0</v>
      </c>
      <c r="DH17" s="12">
        <f t="shared" si="14"/>
        <v>0</v>
      </c>
      <c r="DI17" s="12">
        <f t="shared" si="14"/>
        <v>0</v>
      </c>
      <c r="DJ17" s="12">
        <f t="shared" si="14"/>
        <v>0</v>
      </c>
      <c r="DK17" s="12">
        <f t="shared" si="14"/>
        <v>0</v>
      </c>
      <c r="DL17" s="12">
        <f t="shared" si="14"/>
        <v>0</v>
      </c>
      <c r="DM17" s="12">
        <f t="shared" si="14"/>
        <v>0</v>
      </c>
      <c r="DN17" s="12">
        <f t="shared" si="14"/>
        <v>0</v>
      </c>
      <c r="DO17" s="12">
        <f t="shared" si="14"/>
        <v>0</v>
      </c>
      <c r="DP17" s="12">
        <f t="shared" si="14"/>
        <v>0</v>
      </c>
      <c r="DQ17" s="12">
        <f t="shared" si="14"/>
        <v>0</v>
      </c>
      <c r="DR17" s="12">
        <f t="shared" si="14"/>
        <v>0</v>
      </c>
      <c r="DS17" s="12">
        <f t="shared" si="14"/>
        <v>0</v>
      </c>
      <c r="DT17" s="12">
        <f t="shared" si="14"/>
        <v>0</v>
      </c>
      <c r="DU17" s="12">
        <f t="shared" si="14"/>
        <v>0</v>
      </c>
      <c r="DV17" s="12">
        <f t="shared" si="14"/>
        <v>0</v>
      </c>
      <c r="DW17" s="12">
        <f t="shared" si="14"/>
        <v>0</v>
      </c>
      <c r="DX17" s="12">
        <f t="shared" si="14"/>
        <v>0</v>
      </c>
      <c r="DY17" s="12">
        <f t="shared" si="14"/>
        <v>0</v>
      </c>
      <c r="DZ17" s="12">
        <f t="shared" si="14"/>
        <v>0</v>
      </c>
      <c r="EA17" s="12">
        <f t="shared" si="14"/>
        <v>0</v>
      </c>
      <c r="EB17" s="12">
        <f t="shared" ref="EB17:FH17" si="15">-$B$30</f>
        <v>0</v>
      </c>
      <c r="EC17" s="12">
        <f t="shared" si="15"/>
        <v>0</v>
      </c>
      <c r="ED17" s="12">
        <f t="shared" si="15"/>
        <v>0</v>
      </c>
      <c r="EE17" s="12">
        <f t="shared" si="15"/>
        <v>0</v>
      </c>
      <c r="EF17" s="12">
        <f t="shared" si="15"/>
        <v>0</v>
      </c>
      <c r="EG17" s="12">
        <f t="shared" si="15"/>
        <v>0</v>
      </c>
      <c r="EH17" s="12">
        <f t="shared" si="15"/>
        <v>0</v>
      </c>
      <c r="EI17" s="12">
        <f t="shared" si="15"/>
        <v>0</v>
      </c>
      <c r="EJ17" s="12">
        <f t="shared" si="15"/>
        <v>0</v>
      </c>
      <c r="EK17" s="12">
        <f t="shared" si="15"/>
        <v>0</v>
      </c>
      <c r="EL17" s="12">
        <f t="shared" si="15"/>
        <v>0</v>
      </c>
      <c r="EM17" s="12">
        <f t="shared" si="15"/>
        <v>0</v>
      </c>
      <c r="EN17" s="12">
        <f t="shared" si="15"/>
        <v>0</v>
      </c>
      <c r="EO17" s="12">
        <f t="shared" si="15"/>
        <v>0</v>
      </c>
      <c r="EP17" s="12">
        <f t="shared" si="15"/>
        <v>0</v>
      </c>
      <c r="EQ17" s="12">
        <f t="shared" si="15"/>
        <v>0</v>
      </c>
      <c r="ER17" s="12">
        <f t="shared" si="15"/>
        <v>0</v>
      </c>
      <c r="ES17" s="12">
        <f t="shared" si="15"/>
        <v>0</v>
      </c>
      <c r="ET17" s="12">
        <f t="shared" si="15"/>
        <v>0</v>
      </c>
      <c r="EU17" s="12">
        <f t="shared" si="15"/>
        <v>0</v>
      </c>
      <c r="EV17" s="12">
        <f t="shared" si="15"/>
        <v>0</v>
      </c>
      <c r="EW17" s="12">
        <f t="shared" si="15"/>
        <v>0</v>
      </c>
      <c r="EX17" s="12">
        <f t="shared" si="15"/>
        <v>0</v>
      </c>
      <c r="EY17" s="12">
        <f t="shared" si="15"/>
        <v>0</v>
      </c>
      <c r="EZ17" s="12">
        <f t="shared" si="15"/>
        <v>0</v>
      </c>
      <c r="FA17" s="12">
        <f t="shared" si="15"/>
        <v>0</v>
      </c>
      <c r="FB17" s="12">
        <f t="shared" si="15"/>
        <v>0</v>
      </c>
      <c r="FC17" s="12">
        <f t="shared" si="15"/>
        <v>0</v>
      </c>
      <c r="FD17" s="12">
        <f t="shared" si="15"/>
        <v>0</v>
      </c>
      <c r="FE17" s="12">
        <f t="shared" si="15"/>
        <v>0</v>
      </c>
      <c r="FF17" s="12">
        <f t="shared" si="15"/>
        <v>0</v>
      </c>
      <c r="FG17" s="12">
        <f t="shared" si="15"/>
        <v>0</v>
      </c>
      <c r="FH17" s="12">
        <f t="shared" si="15"/>
        <v>0</v>
      </c>
    </row>
    <row r="18" spans="1:164" s="1" customFormat="1" x14ac:dyDescent="0.2">
      <c r="A18" s="1" t="s">
        <v>22</v>
      </c>
      <c r="C18" s="24">
        <f t="shared" ref="C18:BN18" si="16">SUM(C16:C17)</f>
        <v>-8000</v>
      </c>
      <c r="D18" s="24">
        <f t="shared" si="16"/>
        <v>0</v>
      </c>
      <c r="E18" s="24">
        <f t="shared" si="16"/>
        <v>0</v>
      </c>
      <c r="F18" s="24">
        <f t="shared" si="16"/>
        <v>0</v>
      </c>
      <c r="G18" s="24">
        <f t="shared" si="16"/>
        <v>0</v>
      </c>
      <c r="H18" s="24">
        <f t="shared" si="16"/>
        <v>0</v>
      </c>
      <c r="I18" s="24">
        <f t="shared" si="16"/>
        <v>0</v>
      </c>
      <c r="J18" s="24">
        <f t="shared" si="16"/>
        <v>0</v>
      </c>
      <c r="K18" s="24">
        <f t="shared" si="16"/>
        <v>0</v>
      </c>
      <c r="L18" s="24">
        <f t="shared" si="16"/>
        <v>0</v>
      </c>
      <c r="M18" s="24">
        <f t="shared" si="16"/>
        <v>0</v>
      </c>
      <c r="N18" s="24">
        <f t="shared" si="16"/>
        <v>0</v>
      </c>
      <c r="O18" s="24">
        <f t="shared" si="16"/>
        <v>0</v>
      </c>
      <c r="P18" s="24">
        <f t="shared" si="16"/>
        <v>0</v>
      </c>
      <c r="Q18" s="24">
        <f t="shared" si="16"/>
        <v>0</v>
      </c>
      <c r="R18" s="24">
        <f t="shared" si="16"/>
        <v>0</v>
      </c>
      <c r="S18" s="24">
        <f t="shared" si="16"/>
        <v>0</v>
      </c>
      <c r="T18" s="24">
        <f t="shared" si="16"/>
        <v>0</v>
      </c>
      <c r="U18" s="24">
        <f t="shared" si="16"/>
        <v>0</v>
      </c>
      <c r="V18" s="24">
        <f t="shared" si="16"/>
        <v>0</v>
      </c>
      <c r="W18" s="24">
        <f t="shared" si="16"/>
        <v>0</v>
      </c>
      <c r="X18" s="24">
        <f t="shared" si="16"/>
        <v>0</v>
      </c>
      <c r="Y18" s="24">
        <f t="shared" si="16"/>
        <v>0</v>
      </c>
      <c r="Z18" s="24">
        <f t="shared" si="16"/>
        <v>0</v>
      </c>
      <c r="AA18" s="24">
        <f t="shared" si="16"/>
        <v>0</v>
      </c>
      <c r="AB18" s="24">
        <f t="shared" si="16"/>
        <v>0</v>
      </c>
      <c r="AC18" s="24">
        <f t="shared" si="16"/>
        <v>0</v>
      </c>
      <c r="AD18" s="24">
        <f t="shared" si="16"/>
        <v>0</v>
      </c>
      <c r="AE18" s="24">
        <f t="shared" si="16"/>
        <v>0</v>
      </c>
      <c r="AF18" s="24">
        <f t="shared" si="16"/>
        <v>0</v>
      </c>
      <c r="AG18" s="24">
        <f t="shared" si="16"/>
        <v>-4000</v>
      </c>
      <c r="AH18" s="24">
        <f t="shared" si="16"/>
        <v>0</v>
      </c>
      <c r="AI18" s="24">
        <f t="shared" si="16"/>
        <v>0</v>
      </c>
      <c r="AJ18" s="24">
        <f t="shared" si="16"/>
        <v>0</v>
      </c>
      <c r="AK18" s="24">
        <f t="shared" si="16"/>
        <v>0</v>
      </c>
      <c r="AL18" s="24">
        <f t="shared" si="16"/>
        <v>0</v>
      </c>
      <c r="AM18" s="24">
        <f t="shared" si="16"/>
        <v>0</v>
      </c>
      <c r="AN18" s="24">
        <f t="shared" si="16"/>
        <v>0</v>
      </c>
      <c r="AO18" s="24">
        <f t="shared" si="16"/>
        <v>0</v>
      </c>
      <c r="AP18" s="24">
        <f t="shared" si="16"/>
        <v>0</v>
      </c>
      <c r="AQ18" s="24">
        <f t="shared" si="16"/>
        <v>0</v>
      </c>
      <c r="AR18" s="24">
        <f t="shared" si="16"/>
        <v>0</v>
      </c>
      <c r="AS18" s="24">
        <f t="shared" si="16"/>
        <v>-4000</v>
      </c>
      <c r="AT18" s="24">
        <f t="shared" si="16"/>
        <v>0</v>
      </c>
      <c r="AU18" s="24">
        <f t="shared" si="16"/>
        <v>0</v>
      </c>
      <c r="AV18" s="24">
        <f t="shared" si="16"/>
        <v>0</v>
      </c>
      <c r="AW18" s="24">
        <f t="shared" si="16"/>
        <v>0</v>
      </c>
      <c r="AX18" s="24">
        <f t="shared" si="16"/>
        <v>0</v>
      </c>
      <c r="AY18" s="24">
        <f t="shared" si="16"/>
        <v>0</v>
      </c>
      <c r="AZ18" s="24">
        <f t="shared" si="16"/>
        <v>0</v>
      </c>
      <c r="BA18" s="24">
        <f t="shared" si="16"/>
        <v>0</v>
      </c>
      <c r="BB18" s="24">
        <f t="shared" si="16"/>
        <v>0</v>
      </c>
      <c r="BC18" s="24">
        <f t="shared" si="16"/>
        <v>0</v>
      </c>
      <c r="BD18" s="24">
        <f t="shared" si="16"/>
        <v>0</v>
      </c>
      <c r="BE18" s="24">
        <f t="shared" si="16"/>
        <v>0</v>
      </c>
      <c r="BF18" s="24">
        <f t="shared" si="16"/>
        <v>0</v>
      </c>
      <c r="BG18" s="24">
        <f t="shared" si="16"/>
        <v>0</v>
      </c>
      <c r="BH18" s="24">
        <f t="shared" si="16"/>
        <v>0</v>
      </c>
      <c r="BI18" s="24">
        <f t="shared" si="16"/>
        <v>0</v>
      </c>
      <c r="BJ18" s="24">
        <f t="shared" si="16"/>
        <v>0</v>
      </c>
      <c r="BK18" s="24">
        <f t="shared" si="16"/>
        <v>0</v>
      </c>
      <c r="BL18" s="24">
        <f t="shared" si="16"/>
        <v>0</v>
      </c>
      <c r="BM18" s="24">
        <f t="shared" si="16"/>
        <v>0</v>
      </c>
      <c r="BN18" s="24">
        <f t="shared" si="16"/>
        <v>0</v>
      </c>
      <c r="BO18" s="24">
        <f t="shared" ref="BO18:DZ18" si="17">SUM(BO16:BO17)</f>
        <v>0</v>
      </c>
      <c r="BP18" s="24">
        <f t="shared" si="17"/>
        <v>0</v>
      </c>
      <c r="BQ18" s="24">
        <f t="shared" si="17"/>
        <v>0</v>
      </c>
      <c r="BR18" s="24">
        <f t="shared" si="17"/>
        <v>0</v>
      </c>
      <c r="BS18" s="24">
        <f t="shared" si="17"/>
        <v>0</v>
      </c>
      <c r="BT18" s="24">
        <f t="shared" si="17"/>
        <v>0</v>
      </c>
      <c r="BU18" s="24">
        <f t="shared" si="17"/>
        <v>0</v>
      </c>
      <c r="BV18" s="24">
        <f t="shared" si="17"/>
        <v>0</v>
      </c>
      <c r="BW18" s="24">
        <f t="shared" si="17"/>
        <v>0</v>
      </c>
      <c r="BX18" s="24">
        <f t="shared" si="17"/>
        <v>0</v>
      </c>
      <c r="BY18" s="24">
        <f t="shared" si="17"/>
        <v>0</v>
      </c>
      <c r="BZ18" s="24">
        <f t="shared" si="17"/>
        <v>0</v>
      </c>
      <c r="CA18" s="24">
        <f t="shared" si="17"/>
        <v>0</v>
      </c>
      <c r="CB18" s="24">
        <f t="shared" si="17"/>
        <v>0</v>
      </c>
      <c r="CC18" s="24">
        <f t="shared" si="17"/>
        <v>0</v>
      </c>
      <c r="CD18" s="24">
        <f t="shared" si="17"/>
        <v>0</v>
      </c>
      <c r="CE18" s="24">
        <f t="shared" si="17"/>
        <v>0</v>
      </c>
      <c r="CF18" s="24">
        <f t="shared" si="17"/>
        <v>0</v>
      </c>
      <c r="CG18" s="24">
        <f t="shared" si="17"/>
        <v>0</v>
      </c>
      <c r="CH18" s="24">
        <f t="shared" si="17"/>
        <v>0</v>
      </c>
      <c r="CI18" s="24">
        <f t="shared" si="17"/>
        <v>0</v>
      </c>
      <c r="CJ18" s="24">
        <f t="shared" si="17"/>
        <v>0</v>
      </c>
      <c r="CK18" s="24">
        <f t="shared" si="17"/>
        <v>0</v>
      </c>
      <c r="CL18" s="24">
        <f t="shared" si="17"/>
        <v>0</v>
      </c>
      <c r="CM18" s="24">
        <f t="shared" si="17"/>
        <v>0</v>
      </c>
      <c r="CN18" s="24">
        <f t="shared" si="17"/>
        <v>0</v>
      </c>
      <c r="CO18" s="24">
        <f t="shared" si="17"/>
        <v>0</v>
      </c>
      <c r="CP18" s="24">
        <f t="shared" si="17"/>
        <v>0</v>
      </c>
      <c r="CQ18" s="24">
        <f t="shared" si="17"/>
        <v>0</v>
      </c>
      <c r="CR18" s="24">
        <f t="shared" si="17"/>
        <v>0</v>
      </c>
      <c r="CS18" s="24">
        <f t="shared" si="17"/>
        <v>0</v>
      </c>
      <c r="CT18" s="24">
        <f t="shared" si="17"/>
        <v>0</v>
      </c>
      <c r="CU18" s="24">
        <f t="shared" si="17"/>
        <v>0</v>
      </c>
      <c r="CV18" s="24">
        <f t="shared" si="17"/>
        <v>0</v>
      </c>
      <c r="CW18" s="24">
        <f t="shared" si="17"/>
        <v>0</v>
      </c>
      <c r="CX18" s="24">
        <f t="shared" si="17"/>
        <v>0</v>
      </c>
      <c r="CY18" s="24">
        <f t="shared" si="17"/>
        <v>0</v>
      </c>
      <c r="CZ18" s="24">
        <f t="shared" si="17"/>
        <v>0</v>
      </c>
      <c r="DA18" s="24">
        <f t="shared" si="17"/>
        <v>0</v>
      </c>
      <c r="DB18" s="24">
        <f t="shared" si="17"/>
        <v>0</v>
      </c>
      <c r="DC18" s="24">
        <f t="shared" si="17"/>
        <v>0</v>
      </c>
      <c r="DD18" s="24">
        <f t="shared" si="17"/>
        <v>0</v>
      </c>
      <c r="DE18" s="24">
        <f t="shared" si="17"/>
        <v>0</v>
      </c>
      <c r="DF18" s="24">
        <f t="shared" si="17"/>
        <v>0</v>
      </c>
      <c r="DG18" s="24">
        <f t="shared" si="17"/>
        <v>0</v>
      </c>
      <c r="DH18" s="24">
        <f t="shared" si="17"/>
        <v>0</v>
      </c>
      <c r="DI18" s="24">
        <f t="shared" si="17"/>
        <v>0</v>
      </c>
      <c r="DJ18" s="24">
        <f t="shared" si="17"/>
        <v>0</v>
      </c>
      <c r="DK18" s="24">
        <f t="shared" si="17"/>
        <v>0</v>
      </c>
      <c r="DL18" s="24">
        <f t="shared" si="17"/>
        <v>0</v>
      </c>
      <c r="DM18" s="24">
        <f t="shared" si="17"/>
        <v>0</v>
      </c>
      <c r="DN18" s="24">
        <f t="shared" si="17"/>
        <v>0</v>
      </c>
      <c r="DO18" s="24">
        <f t="shared" si="17"/>
        <v>0</v>
      </c>
      <c r="DP18" s="24">
        <f t="shared" si="17"/>
        <v>0</v>
      </c>
      <c r="DQ18" s="24">
        <f t="shared" si="17"/>
        <v>0</v>
      </c>
      <c r="DR18" s="24">
        <f t="shared" si="17"/>
        <v>0</v>
      </c>
      <c r="DS18" s="24">
        <f t="shared" si="17"/>
        <v>0</v>
      </c>
      <c r="DT18" s="24">
        <f t="shared" si="17"/>
        <v>0</v>
      </c>
      <c r="DU18" s="24">
        <f t="shared" si="17"/>
        <v>0</v>
      </c>
      <c r="DV18" s="24">
        <f t="shared" si="17"/>
        <v>0</v>
      </c>
      <c r="DW18" s="24">
        <f t="shared" si="17"/>
        <v>0</v>
      </c>
      <c r="DX18" s="24">
        <f t="shared" si="17"/>
        <v>0</v>
      </c>
      <c r="DY18" s="24">
        <f t="shared" si="17"/>
        <v>0</v>
      </c>
      <c r="DZ18" s="24">
        <f t="shared" si="17"/>
        <v>0</v>
      </c>
      <c r="EA18" s="24">
        <f t="shared" ref="EA18:FH18" si="18">SUM(EA16:EA17)</f>
        <v>0</v>
      </c>
      <c r="EB18" s="24">
        <f t="shared" si="18"/>
        <v>0</v>
      </c>
      <c r="EC18" s="24">
        <f t="shared" si="18"/>
        <v>0</v>
      </c>
      <c r="ED18" s="24">
        <f t="shared" si="18"/>
        <v>0</v>
      </c>
      <c r="EE18" s="24">
        <f t="shared" si="18"/>
        <v>0</v>
      </c>
      <c r="EF18" s="24">
        <f t="shared" si="18"/>
        <v>0</v>
      </c>
      <c r="EG18" s="24">
        <f t="shared" si="18"/>
        <v>0</v>
      </c>
      <c r="EH18" s="24">
        <f t="shared" si="18"/>
        <v>0</v>
      </c>
      <c r="EI18" s="24">
        <f t="shared" si="18"/>
        <v>0</v>
      </c>
      <c r="EJ18" s="24">
        <f t="shared" si="18"/>
        <v>0</v>
      </c>
      <c r="EK18" s="24">
        <f t="shared" si="18"/>
        <v>0</v>
      </c>
      <c r="EL18" s="24">
        <f t="shared" si="18"/>
        <v>0</v>
      </c>
      <c r="EM18" s="24">
        <f t="shared" si="18"/>
        <v>0</v>
      </c>
      <c r="EN18" s="24">
        <f t="shared" si="18"/>
        <v>0</v>
      </c>
      <c r="EO18" s="24">
        <f t="shared" si="18"/>
        <v>0</v>
      </c>
      <c r="EP18" s="24">
        <f t="shared" si="18"/>
        <v>0</v>
      </c>
      <c r="EQ18" s="24">
        <f t="shared" si="18"/>
        <v>0</v>
      </c>
      <c r="ER18" s="24">
        <f t="shared" si="18"/>
        <v>0</v>
      </c>
      <c r="ES18" s="24">
        <f t="shared" si="18"/>
        <v>0</v>
      </c>
      <c r="ET18" s="24">
        <f t="shared" si="18"/>
        <v>0</v>
      </c>
      <c r="EU18" s="24">
        <f t="shared" si="18"/>
        <v>0</v>
      </c>
      <c r="EV18" s="24">
        <f t="shared" si="18"/>
        <v>0</v>
      </c>
      <c r="EW18" s="24">
        <f t="shared" si="18"/>
        <v>0</v>
      </c>
      <c r="EX18" s="24">
        <f t="shared" si="18"/>
        <v>0</v>
      </c>
      <c r="EY18" s="24">
        <f t="shared" si="18"/>
        <v>0</v>
      </c>
      <c r="EZ18" s="24">
        <f t="shared" si="18"/>
        <v>0</v>
      </c>
      <c r="FA18" s="24">
        <f t="shared" si="18"/>
        <v>0</v>
      </c>
      <c r="FB18" s="24">
        <f t="shared" si="18"/>
        <v>0</v>
      </c>
      <c r="FC18" s="24">
        <f t="shared" si="18"/>
        <v>0</v>
      </c>
      <c r="FD18" s="24">
        <f t="shared" si="18"/>
        <v>0</v>
      </c>
      <c r="FE18" s="24">
        <f t="shared" si="18"/>
        <v>0</v>
      </c>
      <c r="FF18" s="24">
        <f t="shared" si="18"/>
        <v>0</v>
      </c>
      <c r="FG18" s="24">
        <f t="shared" si="18"/>
        <v>0</v>
      </c>
      <c r="FH18" s="24">
        <f t="shared" si="18"/>
        <v>0</v>
      </c>
    </row>
    <row r="20" spans="1:164" s="1" customFormat="1" x14ac:dyDescent="0.2">
      <c r="A20" s="1" t="s">
        <v>25</v>
      </c>
      <c r="C20" s="24">
        <f t="shared" ref="C20:BN20" si="19">C13+C18</f>
        <v>-8000</v>
      </c>
      <c r="D20" s="24">
        <f t="shared" si="19"/>
        <v>0</v>
      </c>
      <c r="E20" s="24">
        <f t="shared" si="19"/>
        <v>0</v>
      </c>
      <c r="F20" s="24">
        <f t="shared" si="19"/>
        <v>0</v>
      </c>
      <c r="G20" s="24">
        <f t="shared" si="19"/>
        <v>0</v>
      </c>
      <c r="H20" s="24">
        <f t="shared" si="19"/>
        <v>0</v>
      </c>
      <c r="I20" s="24">
        <f t="shared" si="19"/>
        <v>0</v>
      </c>
      <c r="J20" s="24">
        <f t="shared" si="19"/>
        <v>0</v>
      </c>
      <c r="K20" s="24">
        <f t="shared" si="19"/>
        <v>0</v>
      </c>
      <c r="L20" s="24">
        <f t="shared" si="19"/>
        <v>0</v>
      </c>
      <c r="M20" s="24">
        <f t="shared" si="19"/>
        <v>0</v>
      </c>
      <c r="N20" s="24">
        <f t="shared" si="19"/>
        <v>0</v>
      </c>
      <c r="O20" s="24">
        <f t="shared" si="19"/>
        <v>0</v>
      </c>
      <c r="P20" s="24">
        <f t="shared" si="19"/>
        <v>0</v>
      </c>
      <c r="Q20" s="24">
        <f t="shared" si="19"/>
        <v>0</v>
      </c>
      <c r="R20" s="24">
        <f t="shared" si="19"/>
        <v>0</v>
      </c>
      <c r="S20" s="24">
        <f t="shared" si="19"/>
        <v>0</v>
      </c>
      <c r="T20" s="24">
        <f t="shared" si="19"/>
        <v>0</v>
      </c>
      <c r="U20" s="24">
        <f t="shared" si="19"/>
        <v>0</v>
      </c>
      <c r="V20" s="24">
        <f t="shared" si="19"/>
        <v>0</v>
      </c>
      <c r="W20" s="24">
        <f t="shared" si="19"/>
        <v>0</v>
      </c>
      <c r="X20" s="24">
        <f t="shared" si="19"/>
        <v>0</v>
      </c>
      <c r="Y20" s="24">
        <f t="shared" si="19"/>
        <v>0</v>
      </c>
      <c r="Z20" s="24">
        <f t="shared" si="19"/>
        <v>0</v>
      </c>
      <c r="AA20" s="24">
        <f t="shared" si="19"/>
        <v>0</v>
      </c>
      <c r="AB20" s="24">
        <f t="shared" si="19"/>
        <v>0</v>
      </c>
      <c r="AC20" s="24">
        <f t="shared" si="19"/>
        <v>0</v>
      </c>
      <c r="AD20" s="24">
        <f t="shared" si="19"/>
        <v>0</v>
      </c>
      <c r="AE20" s="24">
        <f t="shared" si="19"/>
        <v>0</v>
      </c>
      <c r="AF20" s="24">
        <f t="shared" si="19"/>
        <v>0</v>
      </c>
      <c r="AG20" s="24">
        <f t="shared" si="19"/>
        <v>-4000</v>
      </c>
      <c r="AH20" s="24">
        <f t="shared" si="19"/>
        <v>0</v>
      </c>
      <c r="AI20" s="24">
        <f t="shared" si="19"/>
        <v>0</v>
      </c>
      <c r="AJ20" s="24">
        <f t="shared" si="19"/>
        <v>0</v>
      </c>
      <c r="AK20" s="24">
        <f t="shared" si="19"/>
        <v>0</v>
      </c>
      <c r="AL20" s="24">
        <f t="shared" si="19"/>
        <v>0</v>
      </c>
      <c r="AM20" s="24">
        <f t="shared" si="19"/>
        <v>0</v>
      </c>
      <c r="AN20" s="24">
        <f t="shared" si="19"/>
        <v>0</v>
      </c>
      <c r="AO20" s="24">
        <f t="shared" si="19"/>
        <v>0</v>
      </c>
      <c r="AP20" s="24">
        <f t="shared" si="19"/>
        <v>0</v>
      </c>
      <c r="AQ20" s="24">
        <f t="shared" si="19"/>
        <v>0</v>
      </c>
      <c r="AR20" s="24">
        <f t="shared" si="19"/>
        <v>0</v>
      </c>
      <c r="AS20" s="24">
        <f t="shared" si="19"/>
        <v>-4000</v>
      </c>
      <c r="AT20" s="24">
        <f t="shared" si="19"/>
        <v>0</v>
      </c>
      <c r="AU20" s="24">
        <f t="shared" si="19"/>
        <v>0</v>
      </c>
      <c r="AV20" s="24">
        <f t="shared" si="19"/>
        <v>0</v>
      </c>
      <c r="AW20" s="24">
        <f t="shared" si="19"/>
        <v>0</v>
      </c>
      <c r="AX20" s="24">
        <f t="shared" si="19"/>
        <v>0</v>
      </c>
      <c r="AY20" s="24">
        <f t="shared" si="19"/>
        <v>0</v>
      </c>
      <c r="AZ20" s="24">
        <f t="shared" si="19"/>
        <v>0</v>
      </c>
      <c r="BA20" s="24">
        <f t="shared" si="19"/>
        <v>0</v>
      </c>
      <c r="BB20" s="24">
        <f t="shared" si="19"/>
        <v>0</v>
      </c>
      <c r="BC20" s="24">
        <f t="shared" si="19"/>
        <v>0</v>
      </c>
      <c r="BD20" s="24">
        <f t="shared" si="19"/>
        <v>0</v>
      </c>
      <c r="BE20" s="24">
        <f t="shared" si="19"/>
        <v>0</v>
      </c>
      <c r="BF20" s="24">
        <f t="shared" si="19"/>
        <v>0</v>
      </c>
      <c r="BG20" s="24">
        <f t="shared" si="19"/>
        <v>0</v>
      </c>
      <c r="BH20" s="24">
        <f t="shared" si="19"/>
        <v>0</v>
      </c>
      <c r="BI20" s="24">
        <f t="shared" si="19"/>
        <v>0</v>
      </c>
      <c r="BJ20" s="24">
        <f t="shared" si="19"/>
        <v>0</v>
      </c>
      <c r="BK20" s="24">
        <f t="shared" si="19"/>
        <v>0</v>
      </c>
      <c r="BL20" s="24">
        <f t="shared" si="19"/>
        <v>0</v>
      </c>
      <c r="BM20" s="24">
        <f t="shared" si="19"/>
        <v>0</v>
      </c>
      <c r="BN20" s="24">
        <f t="shared" si="19"/>
        <v>0</v>
      </c>
      <c r="BO20" s="24">
        <f t="shared" ref="BO20:DZ20" si="20">BO13+BO18</f>
        <v>0</v>
      </c>
      <c r="BP20" s="24">
        <f t="shared" si="20"/>
        <v>0</v>
      </c>
      <c r="BQ20" s="24">
        <f t="shared" si="20"/>
        <v>0</v>
      </c>
      <c r="BR20" s="24">
        <f t="shared" si="20"/>
        <v>0</v>
      </c>
      <c r="BS20" s="24">
        <f t="shared" si="20"/>
        <v>0</v>
      </c>
      <c r="BT20" s="24">
        <f t="shared" si="20"/>
        <v>0</v>
      </c>
      <c r="BU20" s="24">
        <f t="shared" si="20"/>
        <v>0</v>
      </c>
      <c r="BV20" s="24">
        <f t="shared" si="20"/>
        <v>0</v>
      </c>
      <c r="BW20" s="24">
        <f t="shared" si="20"/>
        <v>0</v>
      </c>
      <c r="BX20" s="24">
        <f t="shared" si="20"/>
        <v>0</v>
      </c>
      <c r="BY20" s="24">
        <f t="shared" si="20"/>
        <v>0</v>
      </c>
      <c r="BZ20" s="24">
        <f t="shared" si="20"/>
        <v>0</v>
      </c>
      <c r="CA20" s="24">
        <f t="shared" si="20"/>
        <v>0</v>
      </c>
      <c r="CB20" s="24">
        <f t="shared" si="20"/>
        <v>0</v>
      </c>
      <c r="CC20" s="24">
        <f t="shared" si="20"/>
        <v>0</v>
      </c>
      <c r="CD20" s="24">
        <f t="shared" si="20"/>
        <v>0</v>
      </c>
      <c r="CE20" s="24">
        <f t="shared" si="20"/>
        <v>0</v>
      </c>
      <c r="CF20" s="24">
        <f t="shared" si="20"/>
        <v>0</v>
      </c>
      <c r="CG20" s="24">
        <f t="shared" si="20"/>
        <v>0</v>
      </c>
      <c r="CH20" s="24">
        <f t="shared" si="20"/>
        <v>0</v>
      </c>
      <c r="CI20" s="24">
        <f t="shared" si="20"/>
        <v>0</v>
      </c>
      <c r="CJ20" s="24">
        <f t="shared" si="20"/>
        <v>0</v>
      </c>
      <c r="CK20" s="24">
        <f t="shared" si="20"/>
        <v>0</v>
      </c>
      <c r="CL20" s="24">
        <f t="shared" si="20"/>
        <v>0</v>
      </c>
      <c r="CM20" s="24">
        <f t="shared" si="20"/>
        <v>0</v>
      </c>
      <c r="CN20" s="24">
        <f t="shared" si="20"/>
        <v>0</v>
      </c>
      <c r="CO20" s="24">
        <f t="shared" si="20"/>
        <v>0</v>
      </c>
      <c r="CP20" s="24">
        <f t="shared" si="20"/>
        <v>0</v>
      </c>
      <c r="CQ20" s="24">
        <f t="shared" si="20"/>
        <v>0</v>
      </c>
      <c r="CR20" s="24">
        <f t="shared" si="20"/>
        <v>0</v>
      </c>
      <c r="CS20" s="24">
        <f t="shared" si="20"/>
        <v>0</v>
      </c>
      <c r="CT20" s="24">
        <f t="shared" si="20"/>
        <v>0</v>
      </c>
      <c r="CU20" s="24">
        <f t="shared" si="20"/>
        <v>0</v>
      </c>
      <c r="CV20" s="24">
        <f t="shared" si="20"/>
        <v>0</v>
      </c>
      <c r="CW20" s="24">
        <f t="shared" si="20"/>
        <v>0</v>
      </c>
      <c r="CX20" s="24">
        <f t="shared" si="20"/>
        <v>0</v>
      </c>
      <c r="CY20" s="24">
        <f t="shared" si="20"/>
        <v>0</v>
      </c>
      <c r="CZ20" s="24">
        <f t="shared" si="20"/>
        <v>0</v>
      </c>
      <c r="DA20" s="24">
        <f t="shared" si="20"/>
        <v>0</v>
      </c>
      <c r="DB20" s="24">
        <f t="shared" si="20"/>
        <v>0</v>
      </c>
      <c r="DC20" s="24">
        <f t="shared" si="20"/>
        <v>0</v>
      </c>
      <c r="DD20" s="24">
        <f t="shared" si="20"/>
        <v>0</v>
      </c>
      <c r="DE20" s="24">
        <f t="shared" si="20"/>
        <v>0</v>
      </c>
      <c r="DF20" s="24">
        <f t="shared" si="20"/>
        <v>0</v>
      </c>
      <c r="DG20" s="24">
        <f t="shared" si="20"/>
        <v>0</v>
      </c>
      <c r="DH20" s="24">
        <f t="shared" si="20"/>
        <v>0</v>
      </c>
      <c r="DI20" s="24">
        <f t="shared" si="20"/>
        <v>0</v>
      </c>
      <c r="DJ20" s="24">
        <f t="shared" si="20"/>
        <v>0</v>
      </c>
      <c r="DK20" s="24">
        <f t="shared" si="20"/>
        <v>0</v>
      </c>
      <c r="DL20" s="24">
        <f t="shared" si="20"/>
        <v>0</v>
      </c>
      <c r="DM20" s="24">
        <f t="shared" si="20"/>
        <v>0</v>
      </c>
      <c r="DN20" s="24">
        <f t="shared" si="20"/>
        <v>0</v>
      </c>
      <c r="DO20" s="24">
        <f t="shared" si="20"/>
        <v>0</v>
      </c>
      <c r="DP20" s="24">
        <f t="shared" si="20"/>
        <v>0</v>
      </c>
      <c r="DQ20" s="24">
        <f t="shared" si="20"/>
        <v>0</v>
      </c>
      <c r="DR20" s="24">
        <f t="shared" si="20"/>
        <v>0</v>
      </c>
      <c r="DS20" s="24">
        <f t="shared" si="20"/>
        <v>0</v>
      </c>
      <c r="DT20" s="24">
        <f t="shared" si="20"/>
        <v>0</v>
      </c>
      <c r="DU20" s="24">
        <f t="shared" si="20"/>
        <v>0</v>
      </c>
      <c r="DV20" s="24">
        <f t="shared" si="20"/>
        <v>0</v>
      </c>
      <c r="DW20" s="24">
        <f t="shared" si="20"/>
        <v>0</v>
      </c>
      <c r="DX20" s="24">
        <f t="shared" si="20"/>
        <v>0</v>
      </c>
      <c r="DY20" s="24">
        <f t="shared" si="20"/>
        <v>0</v>
      </c>
      <c r="DZ20" s="24">
        <f t="shared" si="20"/>
        <v>0</v>
      </c>
      <c r="EA20" s="24">
        <f t="shared" ref="EA20:FH20" si="21">EA13+EA18</f>
        <v>0</v>
      </c>
      <c r="EB20" s="24">
        <f t="shared" si="21"/>
        <v>0</v>
      </c>
      <c r="EC20" s="24">
        <f t="shared" si="21"/>
        <v>0</v>
      </c>
      <c r="ED20" s="24">
        <f t="shared" si="21"/>
        <v>0</v>
      </c>
      <c r="EE20" s="24">
        <f t="shared" si="21"/>
        <v>0</v>
      </c>
      <c r="EF20" s="24">
        <f t="shared" si="21"/>
        <v>0</v>
      </c>
      <c r="EG20" s="24">
        <f t="shared" si="21"/>
        <v>0</v>
      </c>
      <c r="EH20" s="24">
        <f t="shared" si="21"/>
        <v>0</v>
      </c>
      <c r="EI20" s="24">
        <f t="shared" si="21"/>
        <v>0</v>
      </c>
      <c r="EJ20" s="24">
        <f t="shared" si="21"/>
        <v>0</v>
      </c>
      <c r="EK20" s="24">
        <f t="shared" si="21"/>
        <v>0</v>
      </c>
      <c r="EL20" s="24">
        <f t="shared" si="21"/>
        <v>0</v>
      </c>
      <c r="EM20" s="24">
        <f t="shared" si="21"/>
        <v>0</v>
      </c>
      <c r="EN20" s="24">
        <f t="shared" si="21"/>
        <v>0</v>
      </c>
      <c r="EO20" s="24">
        <f t="shared" si="21"/>
        <v>0</v>
      </c>
      <c r="EP20" s="24">
        <f t="shared" si="21"/>
        <v>0</v>
      </c>
      <c r="EQ20" s="24">
        <f t="shared" si="21"/>
        <v>0</v>
      </c>
      <c r="ER20" s="24">
        <f t="shared" si="21"/>
        <v>0</v>
      </c>
      <c r="ES20" s="24">
        <f t="shared" si="21"/>
        <v>0</v>
      </c>
      <c r="ET20" s="24">
        <f t="shared" si="21"/>
        <v>0</v>
      </c>
      <c r="EU20" s="24">
        <f t="shared" si="21"/>
        <v>0</v>
      </c>
      <c r="EV20" s="24">
        <f t="shared" si="21"/>
        <v>0</v>
      </c>
      <c r="EW20" s="24">
        <f t="shared" si="21"/>
        <v>0</v>
      </c>
      <c r="EX20" s="24">
        <f t="shared" si="21"/>
        <v>0</v>
      </c>
      <c r="EY20" s="24">
        <f t="shared" si="21"/>
        <v>0</v>
      </c>
      <c r="EZ20" s="24">
        <f t="shared" si="21"/>
        <v>0</v>
      </c>
      <c r="FA20" s="24">
        <f t="shared" si="21"/>
        <v>0</v>
      </c>
      <c r="FB20" s="24">
        <f t="shared" si="21"/>
        <v>0</v>
      </c>
      <c r="FC20" s="24">
        <f t="shared" si="21"/>
        <v>0</v>
      </c>
      <c r="FD20" s="24">
        <f t="shared" si="21"/>
        <v>0</v>
      </c>
      <c r="FE20" s="24">
        <f t="shared" si="21"/>
        <v>0</v>
      </c>
      <c r="FF20" s="24">
        <f t="shared" si="21"/>
        <v>0</v>
      </c>
      <c r="FG20" s="24">
        <f t="shared" si="21"/>
        <v>0</v>
      </c>
      <c r="FH20" s="24">
        <f t="shared" si="21"/>
        <v>0</v>
      </c>
    </row>
    <row r="22" spans="1:164" x14ac:dyDescent="0.2">
      <c r="A22" s="1" t="s">
        <v>47</v>
      </c>
    </row>
    <row r="23" spans="1:164" x14ac:dyDescent="0.2">
      <c r="A23" s="3" t="s">
        <v>32</v>
      </c>
      <c r="C23" s="27">
        <f>IF(C20&lt;0,-C20,0)</f>
        <v>8000</v>
      </c>
      <c r="D23" s="27">
        <f t="shared" ref="D23:BO23" si="22">IF(D20&lt;0,-D20,0)</f>
        <v>0</v>
      </c>
      <c r="E23" s="27">
        <f t="shared" si="22"/>
        <v>0</v>
      </c>
      <c r="F23" s="27">
        <f t="shared" si="22"/>
        <v>0</v>
      </c>
      <c r="G23" s="27">
        <f t="shared" si="22"/>
        <v>0</v>
      </c>
      <c r="H23" s="27">
        <f t="shared" si="22"/>
        <v>0</v>
      </c>
      <c r="I23" s="27">
        <f t="shared" si="22"/>
        <v>0</v>
      </c>
      <c r="J23" s="27">
        <f t="shared" si="22"/>
        <v>0</v>
      </c>
      <c r="K23" s="27">
        <f t="shared" si="22"/>
        <v>0</v>
      </c>
      <c r="L23" s="27">
        <f t="shared" si="22"/>
        <v>0</v>
      </c>
      <c r="M23" s="27">
        <f t="shared" si="22"/>
        <v>0</v>
      </c>
      <c r="N23" s="27">
        <f t="shared" si="22"/>
        <v>0</v>
      </c>
      <c r="O23" s="27">
        <f t="shared" si="22"/>
        <v>0</v>
      </c>
      <c r="P23" s="27">
        <f t="shared" si="22"/>
        <v>0</v>
      </c>
      <c r="Q23" s="27">
        <f t="shared" si="22"/>
        <v>0</v>
      </c>
      <c r="R23" s="27">
        <f t="shared" si="22"/>
        <v>0</v>
      </c>
      <c r="S23" s="27">
        <f t="shared" si="22"/>
        <v>0</v>
      </c>
      <c r="T23" s="27">
        <f t="shared" si="22"/>
        <v>0</v>
      </c>
      <c r="U23" s="27">
        <f t="shared" si="22"/>
        <v>0</v>
      </c>
      <c r="V23" s="27">
        <f t="shared" si="22"/>
        <v>0</v>
      </c>
      <c r="W23" s="27">
        <f t="shared" si="22"/>
        <v>0</v>
      </c>
      <c r="X23" s="27">
        <f t="shared" si="22"/>
        <v>0</v>
      </c>
      <c r="Y23" s="27">
        <f t="shared" si="22"/>
        <v>0</v>
      </c>
      <c r="Z23" s="27">
        <f t="shared" si="22"/>
        <v>0</v>
      </c>
      <c r="AA23" s="27">
        <f t="shared" si="22"/>
        <v>0</v>
      </c>
      <c r="AB23" s="27">
        <f t="shared" si="22"/>
        <v>0</v>
      </c>
      <c r="AC23" s="27">
        <f t="shared" si="22"/>
        <v>0</v>
      </c>
      <c r="AD23" s="27">
        <f t="shared" si="22"/>
        <v>0</v>
      </c>
      <c r="AE23" s="27">
        <f t="shared" si="22"/>
        <v>0</v>
      </c>
      <c r="AF23" s="27">
        <f t="shared" si="22"/>
        <v>0</v>
      </c>
      <c r="AG23" s="27">
        <f t="shared" si="22"/>
        <v>4000</v>
      </c>
      <c r="AH23" s="27">
        <f t="shared" si="22"/>
        <v>0</v>
      </c>
      <c r="AI23" s="27">
        <f t="shared" si="22"/>
        <v>0</v>
      </c>
      <c r="AJ23" s="27">
        <f t="shared" si="22"/>
        <v>0</v>
      </c>
      <c r="AK23" s="27">
        <f t="shared" si="22"/>
        <v>0</v>
      </c>
      <c r="AL23" s="27">
        <f t="shared" si="22"/>
        <v>0</v>
      </c>
      <c r="AM23" s="27">
        <f t="shared" si="22"/>
        <v>0</v>
      </c>
      <c r="AN23" s="27">
        <f t="shared" si="22"/>
        <v>0</v>
      </c>
      <c r="AO23" s="27">
        <f t="shared" si="22"/>
        <v>0</v>
      </c>
      <c r="AP23" s="27">
        <f t="shared" si="22"/>
        <v>0</v>
      </c>
      <c r="AQ23" s="27">
        <f t="shared" si="22"/>
        <v>0</v>
      </c>
      <c r="AR23" s="27">
        <f t="shared" si="22"/>
        <v>0</v>
      </c>
      <c r="AS23" s="27">
        <f t="shared" si="22"/>
        <v>4000</v>
      </c>
      <c r="AT23" s="27">
        <f t="shared" si="22"/>
        <v>0</v>
      </c>
      <c r="AU23" s="27">
        <f t="shared" si="22"/>
        <v>0</v>
      </c>
      <c r="AV23" s="27">
        <f t="shared" si="22"/>
        <v>0</v>
      </c>
      <c r="AW23" s="27">
        <f t="shared" si="22"/>
        <v>0</v>
      </c>
      <c r="AX23" s="27">
        <f t="shared" si="22"/>
        <v>0</v>
      </c>
      <c r="AY23" s="27">
        <f t="shared" si="22"/>
        <v>0</v>
      </c>
      <c r="AZ23" s="27">
        <f t="shared" si="22"/>
        <v>0</v>
      </c>
      <c r="BA23" s="27">
        <f t="shared" si="22"/>
        <v>0</v>
      </c>
      <c r="BB23" s="27">
        <f t="shared" si="22"/>
        <v>0</v>
      </c>
      <c r="BC23" s="27">
        <f t="shared" si="22"/>
        <v>0</v>
      </c>
      <c r="BD23" s="27">
        <f t="shared" si="22"/>
        <v>0</v>
      </c>
      <c r="BE23" s="27">
        <f t="shared" si="22"/>
        <v>0</v>
      </c>
      <c r="BF23" s="27">
        <f t="shared" si="22"/>
        <v>0</v>
      </c>
      <c r="BG23" s="27">
        <f t="shared" si="22"/>
        <v>0</v>
      </c>
      <c r="BH23" s="27">
        <f t="shared" si="22"/>
        <v>0</v>
      </c>
      <c r="BI23" s="27">
        <f t="shared" si="22"/>
        <v>0</v>
      </c>
      <c r="BJ23" s="27">
        <f t="shared" si="22"/>
        <v>0</v>
      </c>
      <c r="BK23" s="27">
        <f t="shared" si="22"/>
        <v>0</v>
      </c>
      <c r="BL23" s="27">
        <f t="shared" si="22"/>
        <v>0</v>
      </c>
      <c r="BM23" s="27">
        <f t="shared" si="22"/>
        <v>0</v>
      </c>
      <c r="BN23" s="27">
        <f t="shared" si="22"/>
        <v>0</v>
      </c>
      <c r="BO23" s="27">
        <f t="shared" si="22"/>
        <v>0</v>
      </c>
      <c r="BP23" s="27">
        <f t="shared" ref="BP23:EA23" si="23">IF(BP20&lt;0,-BP20,0)</f>
        <v>0</v>
      </c>
      <c r="BQ23" s="27">
        <f t="shared" si="23"/>
        <v>0</v>
      </c>
      <c r="BR23" s="27">
        <f t="shared" si="23"/>
        <v>0</v>
      </c>
      <c r="BS23" s="27">
        <f t="shared" si="23"/>
        <v>0</v>
      </c>
      <c r="BT23" s="27">
        <f t="shared" si="23"/>
        <v>0</v>
      </c>
      <c r="BU23" s="27">
        <f t="shared" si="23"/>
        <v>0</v>
      </c>
      <c r="BV23" s="27">
        <f t="shared" si="23"/>
        <v>0</v>
      </c>
      <c r="BW23" s="27">
        <f t="shared" si="23"/>
        <v>0</v>
      </c>
      <c r="BX23" s="27">
        <f t="shared" si="23"/>
        <v>0</v>
      </c>
      <c r="BY23" s="27">
        <f t="shared" si="23"/>
        <v>0</v>
      </c>
      <c r="BZ23" s="27">
        <f t="shared" si="23"/>
        <v>0</v>
      </c>
      <c r="CA23" s="27">
        <f t="shared" si="23"/>
        <v>0</v>
      </c>
      <c r="CB23" s="27">
        <f t="shared" si="23"/>
        <v>0</v>
      </c>
      <c r="CC23" s="27">
        <f t="shared" si="23"/>
        <v>0</v>
      </c>
      <c r="CD23" s="27">
        <f t="shared" si="23"/>
        <v>0</v>
      </c>
      <c r="CE23" s="27">
        <f t="shared" si="23"/>
        <v>0</v>
      </c>
      <c r="CF23" s="27">
        <f t="shared" si="23"/>
        <v>0</v>
      </c>
      <c r="CG23" s="27">
        <f t="shared" si="23"/>
        <v>0</v>
      </c>
      <c r="CH23" s="27">
        <f t="shared" si="23"/>
        <v>0</v>
      </c>
      <c r="CI23" s="27">
        <f t="shared" si="23"/>
        <v>0</v>
      </c>
      <c r="CJ23" s="27">
        <f t="shared" si="23"/>
        <v>0</v>
      </c>
      <c r="CK23" s="27">
        <f t="shared" si="23"/>
        <v>0</v>
      </c>
      <c r="CL23" s="27">
        <f t="shared" si="23"/>
        <v>0</v>
      </c>
      <c r="CM23" s="27">
        <f t="shared" si="23"/>
        <v>0</v>
      </c>
      <c r="CN23" s="27">
        <f t="shared" si="23"/>
        <v>0</v>
      </c>
      <c r="CO23" s="27">
        <f t="shared" si="23"/>
        <v>0</v>
      </c>
      <c r="CP23" s="27">
        <f t="shared" si="23"/>
        <v>0</v>
      </c>
      <c r="CQ23" s="27">
        <f t="shared" si="23"/>
        <v>0</v>
      </c>
      <c r="CR23" s="27">
        <f t="shared" si="23"/>
        <v>0</v>
      </c>
      <c r="CS23" s="27">
        <f t="shared" si="23"/>
        <v>0</v>
      </c>
      <c r="CT23" s="27">
        <f t="shared" si="23"/>
        <v>0</v>
      </c>
      <c r="CU23" s="27">
        <f t="shared" si="23"/>
        <v>0</v>
      </c>
      <c r="CV23" s="27">
        <f t="shared" si="23"/>
        <v>0</v>
      </c>
      <c r="CW23" s="27">
        <f t="shared" si="23"/>
        <v>0</v>
      </c>
      <c r="CX23" s="27">
        <f t="shared" si="23"/>
        <v>0</v>
      </c>
      <c r="CY23" s="27">
        <f t="shared" si="23"/>
        <v>0</v>
      </c>
      <c r="CZ23" s="27">
        <f t="shared" si="23"/>
        <v>0</v>
      </c>
      <c r="DA23" s="27">
        <f t="shared" si="23"/>
        <v>0</v>
      </c>
      <c r="DB23" s="27">
        <f t="shared" si="23"/>
        <v>0</v>
      </c>
      <c r="DC23" s="27">
        <f t="shared" si="23"/>
        <v>0</v>
      </c>
      <c r="DD23" s="27">
        <f t="shared" si="23"/>
        <v>0</v>
      </c>
      <c r="DE23" s="27">
        <f t="shared" si="23"/>
        <v>0</v>
      </c>
      <c r="DF23" s="27">
        <f t="shared" si="23"/>
        <v>0</v>
      </c>
      <c r="DG23" s="27">
        <f t="shared" si="23"/>
        <v>0</v>
      </c>
      <c r="DH23" s="27">
        <f t="shared" si="23"/>
        <v>0</v>
      </c>
      <c r="DI23" s="27">
        <f t="shared" si="23"/>
        <v>0</v>
      </c>
      <c r="DJ23" s="27">
        <f t="shared" si="23"/>
        <v>0</v>
      </c>
      <c r="DK23" s="27">
        <f t="shared" si="23"/>
        <v>0</v>
      </c>
      <c r="DL23" s="27">
        <f t="shared" si="23"/>
        <v>0</v>
      </c>
      <c r="DM23" s="27">
        <f t="shared" si="23"/>
        <v>0</v>
      </c>
      <c r="DN23" s="27">
        <f t="shared" si="23"/>
        <v>0</v>
      </c>
      <c r="DO23" s="27">
        <f t="shared" si="23"/>
        <v>0</v>
      </c>
      <c r="DP23" s="27">
        <f t="shared" si="23"/>
        <v>0</v>
      </c>
      <c r="DQ23" s="27">
        <f t="shared" si="23"/>
        <v>0</v>
      </c>
      <c r="DR23" s="27">
        <f t="shared" si="23"/>
        <v>0</v>
      </c>
      <c r="DS23" s="27">
        <f t="shared" si="23"/>
        <v>0</v>
      </c>
      <c r="DT23" s="27">
        <f t="shared" si="23"/>
        <v>0</v>
      </c>
      <c r="DU23" s="27">
        <f t="shared" si="23"/>
        <v>0</v>
      </c>
      <c r="DV23" s="27">
        <f t="shared" si="23"/>
        <v>0</v>
      </c>
      <c r="DW23" s="27">
        <f t="shared" si="23"/>
        <v>0</v>
      </c>
      <c r="DX23" s="27">
        <f t="shared" si="23"/>
        <v>0</v>
      </c>
      <c r="DY23" s="27">
        <f t="shared" si="23"/>
        <v>0</v>
      </c>
      <c r="DZ23" s="27">
        <f t="shared" si="23"/>
        <v>0</v>
      </c>
      <c r="EA23" s="27">
        <f t="shared" si="23"/>
        <v>0</v>
      </c>
      <c r="EB23" s="27">
        <f t="shared" ref="EB23:FH23" si="24">IF(EB20&lt;0,-EB20,0)</f>
        <v>0</v>
      </c>
      <c r="EC23" s="27">
        <f t="shared" si="24"/>
        <v>0</v>
      </c>
      <c r="ED23" s="27">
        <f t="shared" si="24"/>
        <v>0</v>
      </c>
      <c r="EE23" s="27">
        <f t="shared" si="24"/>
        <v>0</v>
      </c>
      <c r="EF23" s="27">
        <f t="shared" si="24"/>
        <v>0</v>
      </c>
      <c r="EG23" s="27">
        <f t="shared" si="24"/>
        <v>0</v>
      </c>
      <c r="EH23" s="27">
        <f t="shared" si="24"/>
        <v>0</v>
      </c>
      <c r="EI23" s="27">
        <f t="shared" si="24"/>
        <v>0</v>
      </c>
      <c r="EJ23" s="27">
        <f t="shared" si="24"/>
        <v>0</v>
      </c>
      <c r="EK23" s="27">
        <f t="shared" si="24"/>
        <v>0</v>
      </c>
      <c r="EL23" s="27">
        <f t="shared" si="24"/>
        <v>0</v>
      </c>
      <c r="EM23" s="27">
        <f t="shared" si="24"/>
        <v>0</v>
      </c>
      <c r="EN23" s="27">
        <f t="shared" si="24"/>
        <v>0</v>
      </c>
      <c r="EO23" s="27">
        <f t="shared" si="24"/>
        <v>0</v>
      </c>
      <c r="EP23" s="27">
        <f t="shared" si="24"/>
        <v>0</v>
      </c>
      <c r="EQ23" s="27">
        <f t="shared" si="24"/>
        <v>0</v>
      </c>
      <c r="ER23" s="27">
        <f t="shared" si="24"/>
        <v>0</v>
      </c>
      <c r="ES23" s="27">
        <f t="shared" si="24"/>
        <v>0</v>
      </c>
      <c r="ET23" s="27">
        <f t="shared" si="24"/>
        <v>0</v>
      </c>
      <c r="EU23" s="27">
        <f t="shared" si="24"/>
        <v>0</v>
      </c>
      <c r="EV23" s="27">
        <f t="shared" si="24"/>
        <v>0</v>
      </c>
      <c r="EW23" s="27">
        <f t="shared" si="24"/>
        <v>0</v>
      </c>
      <c r="EX23" s="27">
        <f t="shared" si="24"/>
        <v>0</v>
      </c>
      <c r="EY23" s="27">
        <f t="shared" si="24"/>
        <v>0</v>
      </c>
      <c r="EZ23" s="27">
        <f t="shared" si="24"/>
        <v>0</v>
      </c>
      <c r="FA23" s="27">
        <f t="shared" si="24"/>
        <v>0</v>
      </c>
      <c r="FB23" s="27">
        <f t="shared" si="24"/>
        <v>0</v>
      </c>
      <c r="FC23" s="27">
        <f t="shared" si="24"/>
        <v>0</v>
      </c>
      <c r="FD23" s="27">
        <f t="shared" si="24"/>
        <v>0</v>
      </c>
      <c r="FE23" s="27">
        <f t="shared" si="24"/>
        <v>0</v>
      </c>
      <c r="FF23" s="27">
        <f t="shared" si="24"/>
        <v>0</v>
      </c>
      <c r="FG23" s="27">
        <f t="shared" si="24"/>
        <v>0</v>
      </c>
      <c r="FH23" s="27">
        <f t="shared" si="24"/>
        <v>0</v>
      </c>
    </row>
    <row r="24" spans="1:164" x14ac:dyDescent="0.2">
      <c r="A24" t="s">
        <v>34</v>
      </c>
      <c r="C24" s="27">
        <f>IF(AND(B25&gt;0, C20&gt;0),C20,0)</f>
        <v>0</v>
      </c>
      <c r="D24" s="27">
        <f t="shared" ref="D24:BO24" si="25">IF(AND(C25&gt;0, D20&gt;0),D20,0)</f>
        <v>0</v>
      </c>
      <c r="E24" s="27">
        <f t="shared" si="25"/>
        <v>0</v>
      </c>
      <c r="F24" s="27">
        <f t="shared" si="25"/>
        <v>0</v>
      </c>
      <c r="G24" s="27">
        <f t="shared" si="25"/>
        <v>0</v>
      </c>
      <c r="H24" s="27">
        <f t="shared" si="25"/>
        <v>0</v>
      </c>
      <c r="I24" s="27">
        <f t="shared" si="25"/>
        <v>0</v>
      </c>
      <c r="J24" s="27">
        <f t="shared" si="25"/>
        <v>0</v>
      </c>
      <c r="K24" s="27">
        <f t="shared" si="25"/>
        <v>0</v>
      </c>
      <c r="L24" s="27">
        <f t="shared" si="25"/>
        <v>0</v>
      </c>
      <c r="M24" s="27">
        <f t="shared" si="25"/>
        <v>0</v>
      </c>
      <c r="N24" s="27">
        <f t="shared" si="25"/>
        <v>0</v>
      </c>
      <c r="O24" s="27">
        <f t="shared" si="25"/>
        <v>0</v>
      </c>
      <c r="P24" s="27">
        <f t="shared" si="25"/>
        <v>0</v>
      </c>
      <c r="Q24" s="27">
        <f t="shared" si="25"/>
        <v>0</v>
      </c>
      <c r="R24" s="27">
        <f t="shared" si="25"/>
        <v>0</v>
      </c>
      <c r="S24" s="27">
        <f t="shared" si="25"/>
        <v>0</v>
      </c>
      <c r="T24" s="27">
        <f t="shared" si="25"/>
        <v>0</v>
      </c>
      <c r="U24" s="27">
        <f t="shared" si="25"/>
        <v>0</v>
      </c>
      <c r="V24" s="27">
        <f t="shared" si="25"/>
        <v>0</v>
      </c>
      <c r="W24" s="27">
        <f t="shared" si="25"/>
        <v>0</v>
      </c>
      <c r="X24" s="27">
        <f t="shared" si="25"/>
        <v>0</v>
      </c>
      <c r="Y24" s="27">
        <f t="shared" si="25"/>
        <v>0</v>
      </c>
      <c r="Z24" s="27">
        <f t="shared" si="25"/>
        <v>0</v>
      </c>
      <c r="AA24" s="27">
        <f t="shared" si="25"/>
        <v>0</v>
      </c>
      <c r="AB24" s="27">
        <f t="shared" si="25"/>
        <v>0</v>
      </c>
      <c r="AC24" s="27">
        <f t="shared" si="25"/>
        <v>0</v>
      </c>
      <c r="AD24" s="27">
        <f t="shared" si="25"/>
        <v>0</v>
      </c>
      <c r="AE24" s="27">
        <f t="shared" si="25"/>
        <v>0</v>
      </c>
      <c r="AF24" s="27">
        <f t="shared" si="25"/>
        <v>0</v>
      </c>
      <c r="AG24" s="27">
        <f t="shared" si="25"/>
        <v>0</v>
      </c>
      <c r="AH24" s="27">
        <f t="shared" si="25"/>
        <v>0</v>
      </c>
      <c r="AI24" s="27">
        <f t="shared" si="25"/>
        <v>0</v>
      </c>
      <c r="AJ24" s="27">
        <f t="shared" si="25"/>
        <v>0</v>
      </c>
      <c r="AK24" s="27">
        <f t="shared" si="25"/>
        <v>0</v>
      </c>
      <c r="AL24" s="27">
        <f t="shared" si="25"/>
        <v>0</v>
      </c>
      <c r="AM24" s="27">
        <f t="shared" si="25"/>
        <v>0</v>
      </c>
      <c r="AN24" s="27">
        <f t="shared" si="25"/>
        <v>0</v>
      </c>
      <c r="AO24" s="27">
        <f t="shared" si="25"/>
        <v>0</v>
      </c>
      <c r="AP24" s="27">
        <f t="shared" si="25"/>
        <v>0</v>
      </c>
      <c r="AQ24" s="27">
        <f t="shared" si="25"/>
        <v>0</v>
      </c>
      <c r="AR24" s="27">
        <f t="shared" si="25"/>
        <v>0</v>
      </c>
      <c r="AS24" s="27">
        <f t="shared" si="25"/>
        <v>0</v>
      </c>
      <c r="AT24" s="27">
        <f t="shared" si="25"/>
        <v>0</v>
      </c>
      <c r="AU24" s="27">
        <f t="shared" si="25"/>
        <v>0</v>
      </c>
      <c r="AV24" s="27">
        <f t="shared" si="25"/>
        <v>0</v>
      </c>
      <c r="AW24" s="27">
        <f t="shared" si="25"/>
        <v>0</v>
      </c>
      <c r="AX24" s="27">
        <f t="shared" si="25"/>
        <v>0</v>
      </c>
      <c r="AY24" s="27">
        <f t="shared" si="25"/>
        <v>0</v>
      </c>
      <c r="AZ24" s="27">
        <f t="shared" si="25"/>
        <v>0</v>
      </c>
      <c r="BA24" s="27">
        <f t="shared" si="25"/>
        <v>0</v>
      </c>
      <c r="BB24" s="27">
        <f t="shared" si="25"/>
        <v>0</v>
      </c>
      <c r="BC24" s="27">
        <f t="shared" si="25"/>
        <v>0</v>
      </c>
      <c r="BD24" s="27">
        <f t="shared" si="25"/>
        <v>0</v>
      </c>
      <c r="BE24" s="27">
        <f t="shared" si="25"/>
        <v>0</v>
      </c>
      <c r="BF24" s="27">
        <f>IF(AND(BE25&gt;0, BF20&gt;0),BF20,0)</f>
        <v>0</v>
      </c>
      <c r="BG24" s="27">
        <f t="shared" si="25"/>
        <v>0</v>
      </c>
      <c r="BH24" s="27">
        <f t="shared" si="25"/>
        <v>0</v>
      </c>
      <c r="BI24" s="27">
        <f t="shared" si="25"/>
        <v>0</v>
      </c>
      <c r="BJ24" s="27">
        <f t="shared" si="25"/>
        <v>0</v>
      </c>
      <c r="BK24" s="27">
        <f t="shared" si="25"/>
        <v>0</v>
      </c>
      <c r="BL24" s="27">
        <f t="shared" si="25"/>
        <v>0</v>
      </c>
      <c r="BM24" s="27">
        <f t="shared" si="25"/>
        <v>0</v>
      </c>
      <c r="BN24" s="27">
        <f t="shared" si="25"/>
        <v>0</v>
      </c>
      <c r="BO24" s="27">
        <f t="shared" si="25"/>
        <v>0</v>
      </c>
      <c r="BP24" s="27">
        <f t="shared" ref="BP24:EA24" si="26">IF(AND(BO25&gt;0, BP20&gt;0),BP20,0)</f>
        <v>0</v>
      </c>
      <c r="BQ24" s="27">
        <f t="shared" si="26"/>
        <v>0</v>
      </c>
      <c r="BR24" s="27">
        <f t="shared" si="26"/>
        <v>0</v>
      </c>
      <c r="BS24" s="27">
        <f t="shared" si="26"/>
        <v>0</v>
      </c>
      <c r="BT24" s="27">
        <f t="shared" si="26"/>
        <v>0</v>
      </c>
      <c r="BU24" s="27">
        <f t="shared" si="26"/>
        <v>0</v>
      </c>
      <c r="BV24" s="27">
        <f t="shared" si="26"/>
        <v>0</v>
      </c>
      <c r="BW24" s="27">
        <f t="shared" si="26"/>
        <v>0</v>
      </c>
      <c r="BX24" s="27">
        <f t="shared" si="26"/>
        <v>0</v>
      </c>
      <c r="BY24" s="27">
        <f t="shared" si="26"/>
        <v>0</v>
      </c>
      <c r="BZ24" s="27">
        <f t="shared" si="26"/>
        <v>0</v>
      </c>
      <c r="CA24" s="27">
        <f t="shared" si="26"/>
        <v>0</v>
      </c>
      <c r="CB24" s="27">
        <f t="shared" si="26"/>
        <v>0</v>
      </c>
      <c r="CC24" s="27">
        <f t="shared" si="26"/>
        <v>0</v>
      </c>
      <c r="CD24" s="27">
        <f t="shared" si="26"/>
        <v>0</v>
      </c>
      <c r="CE24" s="27">
        <f t="shared" si="26"/>
        <v>0</v>
      </c>
      <c r="CF24" s="27">
        <f t="shared" si="26"/>
        <v>0</v>
      </c>
      <c r="CG24" s="27">
        <f t="shared" si="26"/>
        <v>0</v>
      </c>
      <c r="CH24" s="27">
        <f t="shared" si="26"/>
        <v>0</v>
      </c>
      <c r="CI24" s="27">
        <f t="shared" si="26"/>
        <v>0</v>
      </c>
      <c r="CJ24" s="27">
        <f t="shared" si="26"/>
        <v>0</v>
      </c>
      <c r="CK24" s="27">
        <f t="shared" si="26"/>
        <v>0</v>
      </c>
      <c r="CL24" s="27">
        <f t="shared" si="26"/>
        <v>0</v>
      </c>
      <c r="CM24" s="27">
        <f t="shared" si="26"/>
        <v>0</v>
      </c>
      <c r="CN24" s="27">
        <f t="shared" si="26"/>
        <v>0</v>
      </c>
      <c r="CO24" s="27">
        <f t="shared" si="26"/>
        <v>0</v>
      </c>
      <c r="CP24" s="27">
        <f t="shared" si="26"/>
        <v>0</v>
      </c>
      <c r="CQ24" s="27">
        <f t="shared" si="26"/>
        <v>0</v>
      </c>
      <c r="CR24" s="27">
        <f t="shared" si="26"/>
        <v>0</v>
      </c>
      <c r="CS24" s="27">
        <f t="shared" si="26"/>
        <v>0</v>
      </c>
      <c r="CT24" s="27">
        <f t="shared" si="26"/>
        <v>0</v>
      </c>
      <c r="CU24" s="27">
        <f t="shared" si="26"/>
        <v>0</v>
      </c>
      <c r="CV24" s="27">
        <f t="shared" si="26"/>
        <v>0</v>
      </c>
      <c r="CW24" s="27">
        <f t="shared" si="26"/>
        <v>0</v>
      </c>
      <c r="CX24" s="27">
        <f t="shared" si="26"/>
        <v>0</v>
      </c>
      <c r="CY24" s="27">
        <f t="shared" si="26"/>
        <v>0</v>
      </c>
      <c r="CZ24" s="27">
        <f t="shared" si="26"/>
        <v>0</v>
      </c>
      <c r="DA24" s="27">
        <f t="shared" si="26"/>
        <v>0</v>
      </c>
      <c r="DB24" s="27">
        <f t="shared" si="26"/>
        <v>0</v>
      </c>
      <c r="DC24" s="27">
        <f t="shared" si="26"/>
        <v>0</v>
      </c>
      <c r="DD24" s="27">
        <f t="shared" si="26"/>
        <v>0</v>
      </c>
      <c r="DE24" s="27">
        <f t="shared" si="26"/>
        <v>0</v>
      </c>
      <c r="DF24" s="27">
        <f t="shared" si="26"/>
        <v>0</v>
      </c>
      <c r="DG24" s="27">
        <f t="shared" si="26"/>
        <v>0</v>
      </c>
      <c r="DH24" s="27">
        <f t="shared" si="26"/>
        <v>0</v>
      </c>
      <c r="DI24" s="27">
        <f t="shared" si="26"/>
        <v>0</v>
      </c>
      <c r="DJ24" s="27">
        <f t="shared" si="26"/>
        <v>0</v>
      </c>
      <c r="DK24" s="27">
        <f t="shared" si="26"/>
        <v>0</v>
      </c>
      <c r="DL24" s="27">
        <f t="shared" si="26"/>
        <v>0</v>
      </c>
      <c r="DM24" s="27">
        <f t="shared" si="26"/>
        <v>0</v>
      </c>
      <c r="DN24" s="27">
        <f t="shared" si="26"/>
        <v>0</v>
      </c>
      <c r="DO24" s="27">
        <f t="shared" si="26"/>
        <v>0</v>
      </c>
      <c r="DP24" s="27">
        <f t="shared" si="26"/>
        <v>0</v>
      </c>
      <c r="DQ24" s="27">
        <f t="shared" si="26"/>
        <v>0</v>
      </c>
      <c r="DR24" s="27">
        <f t="shared" si="26"/>
        <v>0</v>
      </c>
      <c r="DS24" s="27">
        <f t="shared" si="26"/>
        <v>0</v>
      </c>
      <c r="DT24" s="27">
        <f t="shared" si="26"/>
        <v>0</v>
      </c>
      <c r="DU24" s="27">
        <f t="shared" si="26"/>
        <v>0</v>
      </c>
      <c r="DV24" s="27">
        <f t="shared" si="26"/>
        <v>0</v>
      </c>
      <c r="DW24" s="27">
        <f t="shared" si="26"/>
        <v>0</v>
      </c>
      <c r="DX24" s="27">
        <f t="shared" si="26"/>
        <v>0</v>
      </c>
      <c r="DY24" s="27">
        <f t="shared" si="26"/>
        <v>0</v>
      </c>
      <c r="DZ24" s="27">
        <f t="shared" si="26"/>
        <v>0</v>
      </c>
      <c r="EA24" s="27">
        <f t="shared" si="26"/>
        <v>0</v>
      </c>
      <c r="EB24" s="27">
        <f t="shared" ref="EB24:FH24" si="27">IF(AND(EA25&gt;0, EB20&gt;0),EB20,0)</f>
        <v>0</v>
      </c>
      <c r="EC24" s="27">
        <f t="shared" si="27"/>
        <v>0</v>
      </c>
      <c r="ED24" s="27">
        <f t="shared" si="27"/>
        <v>0</v>
      </c>
      <c r="EE24" s="27">
        <f t="shared" si="27"/>
        <v>0</v>
      </c>
      <c r="EF24" s="27">
        <f t="shared" si="27"/>
        <v>0</v>
      </c>
      <c r="EG24" s="27">
        <f t="shared" si="27"/>
        <v>0</v>
      </c>
      <c r="EH24" s="27">
        <f t="shared" si="27"/>
        <v>0</v>
      </c>
      <c r="EI24" s="27">
        <f t="shared" si="27"/>
        <v>0</v>
      </c>
      <c r="EJ24" s="27">
        <f t="shared" si="27"/>
        <v>0</v>
      </c>
      <c r="EK24" s="27">
        <f t="shared" si="27"/>
        <v>0</v>
      </c>
      <c r="EL24" s="27">
        <f t="shared" si="27"/>
        <v>0</v>
      </c>
      <c r="EM24" s="27">
        <f t="shared" si="27"/>
        <v>0</v>
      </c>
      <c r="EN24" s="27">
        <f t="shared" si="27"/>
        <v>0</v>
      </c>
      <c r="EO24" s="27">
        <f t="shared" si="27"/>
        <v>0</v>
      </c>
      <c r="EP24" s="27">
        <f t="shared" si="27"/>
        <v>0</v>
      </c>
      <c r="EQ24" s="27">
        <f t="shared" si="27"/>
        <v>0</v>
      </c>
      <c r="ER24" s="27">
        <f t="shared" si="27"/>
        <v>0</v>
      </c>
      <c r="ES24" s="27">
        <f t="shared" si="27"/>
        <v>0</v>
      </c>
      <c r="ET24" s="27">
        <f t="shared" si="27"/>
        <v>0</v>
      </c>
      <c r="EU24" s="27">
        <f t="shared" si="27"/>
        <v>0</v>
      </c>
      <c r="EV24" s="27">
        <f t="shared" si="27"/>
        <v>0</v>
      </c>
      <c r="EW24" s="27">
        <f t="shared" si="27"/>
        <v>0</v>
      </c>
      <c r="EX24" s="27">
        <f t="shared" si="27"/>
        <v>0</v>
      </c>
      <c r="EY24" s="27">
        <f t="shared" si="27"/>
        <v>0</v>
      </c>
      <c r="EZ24" s="27">
        <f t="shared" si="27"/>
        <v>0</v>
      </c>
      <c r="FA24" s="27">
        <f t="shared" si="27"/>
        <v>0</v>
      </c>
      <c r="FB24" s="27">
        <f t="shared" si="27"/>
        <v>0</v>
      </c>
      <c r="FC24" s="27">
        <f t="shared" si="27"/>
        <v>0</v>
      </c>
      <c r="FD24" s="27">
        <f t="shared" si="27"/>
        <v>0</v>
      </c>
      <c r="FE24" s="27">
        <f t="shared" si="27"/>
        <v>0</v>
      </c>
      <c r="FF24" s="27">
        <f t="shared" si="27"/>
        <v>0</v>
      </c>
      <c r="FG24" s="27">
        <f t="shared" si="27"/>
        <v>0</v>
      </c>
      <c r="FH24" s="27">
        <f t="shared" si="27"/>
        <v>0</v>
      </c>
    </row>
    <row r="25" spans="1:164" x14ac:dyDescent="0.2">
      <c r="A25" t="s">
        <v>33</v>
      </c>
      <c r="C25" s="28">
        <f t="shared" ref="C25:AH25" si="28">B25*(1+$B$43)+C23-C24</f>
        <v>8000</v>
      </c>
      <c r="D25" s="28">
        <f t="shared" si="28"/>
        <v>8041.0666666666675</v>
      </c>
      <c r="E25" s="28">
        <f t="shared" si="28"/>
        <v>8082.344142222224</v>
      </c>
      <c r="F25" s="28">
        <f t="shared" si="28"/>
        <v>8123.833508818966</v>
      </c>
      <c r="G25" s="28">
        <f t="shared" si="28"/>
        <v>8165.5358541642372</v>
      </c>
      <c r="H25" s="28">
        <f t="shared" si="28"/>
        <v>8207.4522715489475</v>
      </c>
      <c r="I25" s="28">
        <f t="shared" si="28"/>
        <v>8249.583859876233</v>
      </c>
      <c r="J25" s="28">
        <f t="shared" si="28"/>
        <v>8291.9317236902643</v>
      </c>
      <c r="K25" s="28">
        <f t="shared" si="28"/>
        <v>8334.4969732052086</v>
      </c>
      <c r="L25" s="28">
        <f t="shared" si="28"/>
        <v>8377.2807243343304</v>
      </c>
      <c r="M25" s="28">
        <f t="shared" si="28"/>
        <v>8420.2840987192467</v>
      </c>
      <c r="N25" s="28">
        <f t="shared" si="28"/>
        <v>8463.5082237593397</v>
      </c>
      <c r="O25" s="28">
        <f t="shared" si="28"/>
        <v>8506.9542326413048</v>
      </c>
      <c r="P25" s="28">
        <f t="shared" si="28"/>
        <v>8550.6232643688636</v>
      </c>
      <c r="Q25" s="28">
        <f t="shared" si="28"/>
        <v>8594.5164637926246</v>
      </c>
      <c r="R25" s="28">
        <f t="shared" si="28"/>
        <v>8638.6349816400943</v>
      </c>
      <c r="S25" s="28">
        <f t="shared" si="28"/>
        <v>8682.9799745458477</v>
      </c>
      <c r="T25" s="28">
        <f t="shared" si="28"/>
        <v>8727.5526050818498</v>
      </c>
      <c r="U25" s="28">
        <f t="shared" si="28"/>
        <v>8772.3540417879376</v>
      </c>
      <c r="V25" s="28">
        <f t="shared" si="28"/>
        <v>8817.3854592024491</v>
      </c>
      <c r="W25" s="28">
        <f t="shared" si="28"/>
        <v>8862.6480378930228</v>
      </c>
      <c r="X25" s="28">
        <f t="shared" si="28"/>
        <v>8908.1429644875407</v>
      </c>
      <c r="Y25" s="28">
        <f t="shared" si="28"/>
        <v>8953.8714317052436</v>
      </c>
      <c r="Z25" s="28">
        <f t="shared" si="28"/>
        <v>8999.834638387998</v>
      </c>
      <c r="AA25" s="28">
        <f t="shared" si="28"/>
        <v>9046.0337895317243</v>
      </c>
      <c r="AB25" s="28">
        <f t="shared" si="28"/>
        <v>9092.4700963179876</v>
      </c>
      <c r="AC25" s="28">
        <f t="shared" si="28"/>
        <v>9139.1447761457548</v>
      </c>
      <c r="AD25" s="28">
        <f t="shared" si="28"/>
        <v>9186.0590526633041</v>
      </c>
      <c r="AE25" s="28">
        <f t="shared" si="28"/>
        <v>9233.2141558003095</v>
      </c>
      <c r="AF25" s="28">
        <f t="shared" si="28"/>
        <v>9280.6113218000846</v>
      </c>
      <c r="AG25" s="28">
        <f t="shared" si="28"/>
        <v>13328.251793251993</v>
      </c>
      <c r="AH25" s="28">
        <f t="shared" si="28"/>
        <v>13396.670152457355</v>
      </c>
      <c r="AI25" s="28">
        <f t="shared" ref="AI25:BN25" si="29">AH25*(1+$B$43)+AI23-AI24</f>
        <v>13465.439725906637</v>
      </c>
      <c r="AJ25" s="28">
        <f t="shared" si="29"/>
        <v>13534.562316499627</v>
      </c>
      <c r="AK25" s="28">
        <f t="shared" si="29"/>
        <v>13604.039736390992</v>
      </c>
      <c r="AL25" s="28">
        <f t="shared" si="29"/>
        <v>13673.8738070378</v>
      </c>
      <c r="AM25" s="28">
        <f t="shared" si="29"/>
        <v>13744.066359247263</v>
      </c>
      <c r="AN25" s="28">
        <f t="shared" si="29"/>
        <v>13814.619233224734</v>
      </c>
      <c r="AO25" s="28">
        <f t="shared" si="29"/>
        <v>13885.534278621955</v>
      </c>
      <c r="AP25" s="28">
        <f t="shared" si="29"/>
        <v>13956.813354585549</v>
      </c>
      <c r="AQ25" s="28">
        <f t="shared" si="29"/>
        <v>14028.458329805757</v>
      </c>
      <c r="AR25" s="28">
        <f t="shared" si="29"/>
        <v>14100.471082565427</v>
      </c>
      <c r="AS25" s="28">
        <f t="shared" si="29"/>
        <v>18172.853500789264</v>
      </c>
      <c r="AT25" s="28">
        <f t="shared" si="29"/>
        <v>18266.14081542665</v>
      </c>
      <c r="AU25" s="28">
        <f t="shared" si="29"/>
        <v>18359.907004945842</v>
      </c>
      <c r="AV25" s="28">
        <f t="shared" si="29"/>
        <v>18454.154527571234</v>
      </c>
      <c r="AW25" s="28">
        <f t="shared" si="29"/>
        <v>18548.885854146101</v>
      </c>
      <c r="AX25" s="28">
        <f t="shared" si="29"/>
        <v>18644.103468197387</v>
      </c>
      <c r="AY25" s="28">
        <f t="shared" si="29"/>
        <v>18739.809866000804</v>
      </c>
      <c r="AZ25" s="28">
        <f t="shared" si="29"/>
        <v>18836.007556646276</v>
      </c>
      <c r="BA25" s="28">
        <f t="shared" si="29"/>
        <v>18932.699062103729</v>
      </c>
      <c r="BB25" s="28">
        <f t="shared" si="29"/>
        <v>19029.886917289197</v>
      </c>
      <c r="BC25" s="28">
        <f t="shared" si="29"/>
        <v>19127.573670131285</v>
      </c>
      <c r="BD25" s="28">
        <f t="shared" si="29"/>
        <v>19225.761881637962</v>
      </c>
      <c r="BE25" s="28">
        <f t="shared" si="29"/>
        <v>19324.454125963704</v>
      </c>
      <c r="BF25" s="28">
        <f t="shared" si="29"/>
        <v>19423.652990476985</v>
      </c>
      <c r="BG25" s="28">
        <f t="shared" si="29"/>
        <v>19523.361075828103</v>
      </c>
      <c r="BH25" s="28">
        <f t="shared" si="29"/>
        <v>19623.580996017357</v>
      </c>
      <c r="BI25" s="28">
        <f t="shared" si="29"/>
        <v>19724.315378463583</v>
      </c>
      <c r="BJ25" s="28">
        <f t="shared" si="29"/>
        <v>19825.566864073033</v>
      </c>
      <c r="BK25" s="28">
        <f t="shared" si="29"/>
        <v>19927.338107308609</v>
      </c>
      <c r="BL25" s="28">
        <f t="shared" si="29"/>
        <v>20029.631776259463</v>
      </c>
      <c r="BM25" s="28">
        <f t="shared" si="29"/>
        <v>20132.450552710929</v>
      </c>
      <c r="BN25" s="28">
        <f t="shared" si="29"/>
        <v>20235.797132214848</v>
      </c>
      <c r="BO25" s="28">
        <f t="shared" ref="BO25:CT25" si="30">BN25*(1+$B$43)+BO23-BO24</f>
        <v>20339.674224160219</v>
      </c>
      <c r="BP25" s="28">
        <f t="shared" si="30"/>
        <v>20444.084551844244</v>
      </c>
      <c r="BQ25" s="28">
        <f t="shared" si="30"/>
        <v>20549.030852543714</v>
      </c>
      <c r="BR25" s="28">
        <f t="shared" si="30"/>
        <v>20654.515877586775</v>
      </c>
      <c r="BS25" s="28">
        <f t="shared" si="30"/>
        <v>20760.542392425057</v>
      </c>
      <c r="BT25" s="28">
        <f t="shared" si="30"/>
        <v>20867.113176706174</v>
      </c>
      <c r="BU25" s="28">
        <f t="shared" si="30"/>
        <v>20974.231024346602</v>
      </c>
      <c r="BV25" s="28">
        <f t="shared" si="30"/>
        <v>21081.898743604917</v>
      </c>
      <c r="BW25" s="28">
        <f t="shared" si="30"/>
        <v>21190.119157155426</v>
      </c>
      <c r="BX25" s="28">
        <f t="shared" si="30"/>
        <v>21298.895102162161</v>
      </c>
      <c r="BY25" s="28">
        <f t="shared" si="30"/>
        <v>21408.229430353262</v>
      </c>
      <c r="BZ25" s="28">
        <f t="shared" si="30"/>
        <v>21518.125008095743</v>
      </c>
      <c r="CA25" s="28">
        <f t="shared" si="30"/>
        <v>21628.584716470636</v>
      </c>
      <c r="CB25" s="28">
        <f t="shared" si="30"/>
        <v>21739.611451348519</v>
      </c>
      <c r="CC25" s="28">
        <f t="shared" si="30"/>
        <v>21851.208123465443</v>
      </c>
      <c r="CD25" s="28">
        <f t="shared" si="30"/>
        <v>21963.377658499234</v>
      </c>
      <c r="CE25" s="28">
        <f t="shared" si="30"/>
        <v>22076.122997146198</v>
      </c>
      <c r="CF25" s="28">
        <f t="shared" si="30"/>
        <v>22189.447095198218</v>
      </c>
      <c r="CG25" s="28">
        <f t="shared" si="30"/>
        <v>22303.352923620238</v>
      </c>
      <c r="CH25" s="28">
        <f t="shared" si="30"/>
        <v>22417.843468628158</v>
      </c>
      <c r="CI25" s="28">
        <f t="shared" si="30"/>
        <v>22532.921731767117</v>
      </c>
      <c r="CJ25" s="28">
        <f t="shared" si="30"/>
        <v>22648.590729990192</v>
      </c>
      <c r="CK25" s="28">
        <f t="shared" si="30"/>
        <v>22764.853495737476</v>
      </c>
      <c r="CL25" s="28">
        <f t="shared" si="30"/>
        <v>22881.713077015596</v>
      </c>
      <c r="CM25" s="28">
        <f t="shared" si="30"/>
        <v>22999.172537477611</v>
      </c>
      <c r="CN25" s="28">
        <f t="shared" si="30"/>
        <v>23117.234956503333</v>
      </c>
      <c r="CO25" s="28">
        <f t="shared" si="30"/>
        <v>23235.903429280053</v>
      </c>
      <c r="CP25" s="28">
        <f t="shared" si="30"/>
        <v>23355.181066883692</v>
      </c>
      <c r="CQ25" s="28">
        <f t="shared" si="30"/>
        <v>23475.070996360362</v>
      </c>
      <c r="CR25" s="28">
        <f t="shared" si="30"/>
        <v>23595.576360808347</v>
      </c>
      <c r="CS25" s="28">
        <f t="shared" si="30"/>
        <v>23716.700319460499</v>
      </c>
      <c r="CT25" s="28">
        <f t="shared" si="30"/>
        <v>23838.446047767065</v>
      </c>
      <c r="CU25" s="28">
        <f t="shared" ref="CU25:DZ25" si="31">CT25*(1+$B$43)+CU23-CU24</f>
        <v>23960.816737478937</v>
      </c>
      <c r="CV25" s="28">
        <f t="shared" si="31"/>
        <v>24083.815596731332</v>
      </c>
      <c r="CW25" s="28">
        <f t="shared" si="31"/>
        <v>24207.44585012789</v>
      </c>
      <c r="CX25" s="28">
        <f t="shared" si="31"/>
        <v>24331.710738825215</v>
      </c>
      <c r="CY25" s="28">
        <f t="shared" si="31"/>
        <v>24456.613520617855</v>
      </c>
      <c r="CZ25" s="28">
        <f t="shared" si="31"/>
        <v>24582.157470023696</v>
      </c>
      <c r="DA25" s="28">
        <f t="shared" si="31"/>
        <v>24708.345878369819</v>
      </c>
      <c r="DB25" s="28">
        <f t="shared" si="31"/>
        <v>24835.182053878787</v>
      </c>
      <c r="DC25" s="28">
        <f t="shared" si="31"/>
        <v>24962.669321755366</v>
      </c>
      <c r="DD25" s="28">
        <f t="shared" si="31"/>
        <v>25090.811024273713</v>
      </c>
      <c r="DE25" s="28">
        <f t="shared" si="31"/>
        <v>25219.610520864986</v>
      </c>
      <c r="DF25" s="28">
        <f t="shared" si="31"/>
        <v>25349.071188205427</v>
      </c>
      <c r="DG25" s="28">
        <f t="shared" si="31"/>
        <v>25479.196420304885</v>
      </c>
      <c r="DH25" s="28">
        <f t="shared" si="31"/>
        <v>25609.989628595784</v>
      </c>
      <c r="DI25" s="28">
        <f t="shared" si="31"/>
        <v>25741.454242022577</v>
      </c>
      <c r="DJ25" s="28">
        <f t="shared" si="31"/>
        <v>25873.593707131629</v>
      </c>
      <c r="DK25" s="28">
        <f t="shared" si="31"/>
        <v>26006.411488161575</v>
      </c>
      <c r="DL25" s="28">
        <f t="shared" si="31"/>
        <v>26139.91106713414</v>
      </c>
      <c r="DM25" s="28">
        <f t="shared" si="31"/>
        <v>26274.095943945431</v>
      </c>
      <c r="DN25" s="28">
        <f t="shared" si="31"/>
        <v>26408.969636457688</v>
      </c>
      <c r="DO25" s="28">
        <f t="shared" si="31"/>
        <v>26544.535680591507</v>
      </c>
      <c r="DP25" s="28">
        <f t="shared" si="31"/>
        <v>26680.797630418547</v>
      </c>
      <c r="DQ25" s="28">
        <f t="shared" si="31"/>
        <v>26817.759058254698</v>
      </c>
      <c r="DR25" s="28">
        <f t="shared" si="31"/>
        <v>26955.423554753743</v>
      </c>
      <c r="DS25" s="28">
        <f t="shared" si="31"/>
        <v>27093.794729001482</v>
      </c>
      <c r="DT25" s="28">
        <f t="shared" si="31"/>
        <v>27232.87620861036</v>
      </c>
      <c r="DU25" s="28">
        <f t="shared" si="31"/>
        <v>27372.671639814562</v>
      </c>
      <c r="DV25" s="28">
        <f t="shared" si="31"/>
        <v>27513.184687565612</v>
      </c>
      <c r="DW25" s="28">
        <f t="shared" si="31"/>
        <v>27654.419035628453</v>
      </c>
      <c r="DX25" s="28">
        <f t="shared" si="31"/>
        <v>27796.378386678014</v>
      </c>
      <c r="DY25" s="28">
        <f t="shared" si="31"/>
        <v>27939.066462396298</v>
      </c>
      <c r="DZ25" s="28">
        <f t="shared" si="31"/>
        <v>28082.487003569935</v>
      </c>
      <c r="EA25" s="28">
        <f t="shared" ref="EA25:FF25" si="32">DZ25*(1+$B$43)+EA23-EA24</f>
        <v>28226.643770188264</v>
      </c>
      <c r="EB25" s="28">
        <f t="shared" si="32"/>
        <v>28371.540541541901</v>
      </c>
      <c r="EC25" s="28">
        <f t="shared" si="32"/>
        <v>28517.181116321819</v>
      </c>
      <c r="ED25" s="28">
        <f t="shared" si="32"/>
        <v>28663.569312718941</v>
      </c>
      <c r="EE25" s="28">
        <f t="shared" si="32"/>
        <v>28810.708968524235</v>
      </c>
      <c r="EF25" s="28">
        <f t="shared" si="32"/>
        <v>28958.603941229328</v>
      </c>
      <c r="EG25" s="28">
        <f t="shared" si="32"/>
        <v>29107.25810812764</v>
      </c>
      <c r="EH25" s="28">
        <f t="shared" si="32"/>
        <v>29256.675366416031</v>
      </c>
      <c r="EI25" s="28">
        <f t="shared" si="32"/>
        <v>29406.859633296968</v>
      </c>
      <c r="EJ25" s="28">
        <f t="shared" si="32"/>
        <v>29557.81484608123</v>
      </c>
      <c r="EK25" s="28">
        <f t="shared" si="32"/>
        <v>29709.544962291118</v>
      </c>
      <c r="EL25" s="28">
        <f t="shared" si="32"/>
        <v>29862.053959764216</v>
      </c>
      <c r="EM25" s="28">
        <f t="shared" si="32"/>
        <v>30015.345836757675</v>
      </c>
      <c r="EN25" s="28">
        <f t="shared" si="32"/>
        <v>30169.424612053033</v>
      </c>
      <c r="EO25" s="28">
        <f t="shared" si="32"/>
        <v>30324.294325061575</v>
      </c>
      <c r="EP25" s="28">
        <f t="shared" si="32"/>
        <v>30479.959035930227</v>
      </c>
      <c r="EQ25" s="28">
        <f t="shared" si="32"/>
        <v>30636.422825648006</v>
      </c>
      <c r="ER25" s="28">
        <f t="shared" si="32"/>
        <v>30793.689796153001</v>
      </c>
      <c r="ES25" s="28">
        <f t="shared" si="32"/>
        <v>30951.764070439924</v>
      </c>
      <c r="ET25" s="28">
        <f t="shared" si="32"/>
        <v>31110.649792668184</v>
      </c>
      <c r="EU25" s="28">
        <f t="shared" si="32"/>
        <v>31270.351128270551</v>
      </c>
      <c r="EV25" s="28">
        <f t="shared" si="32"/>
        <v>31430.872264062342</v>
      </c>
      <c r="EW25" s="28">
        <f t="shared" si="32"/>
        <v>31592.2174083512</v>
      </c>
      <c r="EX25" s="28">
        <f t="shared" si="32"/>
        <v>31754.390791047404</v>
      </c>
      <c r="EY25" s="28">
        <f t="shared" si="32"/>
        <v>31917.396663774784</v>
      </c>
      <c r="EZ25" s="28">
        <f t="shared" si="32"/>
        <v>32081.239299982164</v>
      </c>
      <c r="FA25" s="28">
        <f t="shared" si="32"/>
        <v>32245.922995055411</v>
      </c>
      <c r="FB25" s="28">
        <f t="shared" si="32"/>
        <v>32411.452066430033</v>
      </c>
      <c r="FC25" s="28">
        <f t="shared" si="32"/>
        <v>32577.830853704378</v>
      </c>
      <c r="FD25" s="28">
        <f t="shared" si="32"/>
        <v>32745.063718753398</v>
      </c>
      <c r="FE25" s="28">
        <f t="shared" si="32"/>
        <v>32913.155045842999</v>
      </c>
      <c r="FF25" s="28">
        <f t="shared" si="32"/>
        <v>33082.109241744998</v>
      </c>
      <c r="FG25" s="28">
        <f t="shared" ref="FG25:GL25" si="33">FF25*(1+$B$43)+FG23-FG24</f>
        <v>33251.930735852628</v>
      </c>
      <c r="FH25" s="28">
        <f t="shared" si="33"/>
        <v>33422.623980296674</v>
      </c>
    </row>
    <row r="26" spans="1:164" x14ac:dyDescent="0.2">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row>
    <row r="27" spans="1:164" x14ac:dyDescent="0.2">
      <c r="A27" s="1" t="s">
        <v>46</v>
      </c>
    </row>
    <row r="28" spans="1:164" x14ac:dyDescent="0.2">
      <c r="A28" s="1"/>
    </row>
    <row r="29" spans="1:164" x14ac:dyDescent="0.2">
      <c r="A29" t="s">
        <v>112</v>
      </c>
      <c r="B29" s="11">
        <f>COSTS_Master!F25</f>
        <v>8000</v>
      </c>
      <c r="D29" s="61" t="s">
        <v>110</v>
      </c>
      <c r="E29" s="62" t="s">
        <v>111</v>
      </c>
    </row>
    <row r="30" spans="1:164" x14ac:dyDescent="0.2">
      <c r="A30" t="s">
        <v>26</v>
      </c>
      <c r="B30" s="10">
        <v>0</v>
      </c>
      <c r="D30" s="65">
        <v>1</v>
      </c>
      <c r="E30" s="63">
        <f>$B$38</f>
        <v>0</v>
      </c>
      <c r="F30" s="60"/>
      <c r="G30" s="60"/>
      <c r="H30" s="60"/>
      <c r="I30" s="60"/>
      <c r="J30" s="60"/>
    </row>
    <row r="31" spans="1:164" x14ac:dyDescent="0.2">
      <c r="B31" s="27"/>
      <c r="D31" s="65">
        <v>2</v>
      </c>
      <c r="E31" s="63">
        <f>E30*(1+$B$39)</f>
        <v>0</v>
      </c>
    </row>
    <row r="32" spans="1:164" x14ac:dyDescent="0.2">
      <c r="A32" s="1" t="s">
        <v>49</v>
      </c>
      <c r="D32" s="65">
        <v>3</v>
      </c>
      <c r="E32" s="63">
        <f>E31*(1+$B$39)</f>
        <v>0</v>
      </c>
    </row>
    <row r="33" spans="1:5" x14ac:dyDescent="0.2">
      <c r="A33" t="s">
        <v>26</v>
      </c>
      <c r="B33" s="10">
        <v>0</v>
      </c>
      <c r="D33" s="65">
        <v>4</v>
      </c>
      <c r="E33" s="63">
        <f t="shared" ref="E33:E36" si="34">E32*(1+$B$39)</f>
        <v>0</v>
      </c>
    </row>
    <row r="34" spans="1:5" x14ac:dyDescent="0.2">
      <c r="A34" t="s">
        <v>30</v>
      </c>
      <c r="B34" s="10">
        <v>0</v>
      </c>
      <c r="D34" s="65">
        <v>5</v>
      </c>
      <c r="E34" s="63">
        <f t="shared" si="34"/>
        <v>0</v>
      </c>
    </row>
    <row r="35" spans="1:5" x14ac:dyDescent="0.2">
      <c r="A35" t="s">
        <v>50</v>
      </c>
      <c r="B35" s="10">
        <v>0</v>
      </c>
      <c r="D35" s="65">
        <v>6</v>
      </c>
      <c r="E35" s="63">
        <f t="shared" si="34"/>
        <v>0</v>
      </c>
    </row>
    <row r="36" spans="1:5" x14ac:dyDescent="0.2">
      <c r="B36" s="27"/>
      <c r="D36" s="66">
        <v>7</v>
      </c>
      <c r="E36" s="64">
        <f t="shared" si="34"/>
        <v>0</v>
      </c>
    </row>
    <row r="37" spans="1:5" x14ac:dyDescent="0.2">
      <c r="A37" s="1" t="s">
        <v>48</v>
      </c>
      <c r="B37" s="27"/>
    </row>
    <row r="38" spans="1:5" x14ac:dyDescent="0.2">
      <c r="A38" t="s">
        <v>38</v>
      </c>
      <c r="B38" s="10">
        <v>0</v>
      </c>
    </row>
    <row r="39" spans="1:5" x14ac:dyDescent="0.2">
      <c r="A39" t="s">
        <v>109</v>
      </c>
      <c r="B39" s="59">
        <v>0.04</v>
      </c>
    </row>
    <row r="41" spans="1:5" x14ac:dyDescent="0.2">
      <c r="A41" s="1" t="s">
        <v>29</v>
      </c>
    </row>
    <row r="42" spans="1:5" x14ac:dyDescent="0.2">
      <c r="A42" t="s">
        <v>35</v>
      </c>
      <c r="B42" s="23">
        <v>6.1600000000000002E-2</v>
      </c>
    </row>
    <row r="43" spans="1:5" x14ac:dyDescent="0.2">
      <c r="A43" t="s">
        <v>36</v>
      </c>
      <c r="B43" s="68">
        <f>B42/12</f>
        <v>5.1333333333333335E-3</v>
      </c>
    </row>
    <row r="44" spans="1:5" ht="17" thickBot="1" x14ac:dyDescent="0.25"/>
    <row r="45" spans="1:5" ht="17" thickBot="1" x14ac:dyDescent="0.25">
      <c r="A45" t="s">
        <v>39</v>
      </c>
      <c r="B45" s="21">
        <f>SUM(23:23)</f>
        <v>16000</v>
      </c>
    </row>
    <row r="46" spans="1:5" ht="17" thickBot="1" x14ac:dyDescent="0.25">
      <c r="A46" t="s">
        <v>53</v>
      </c>
      <c r="B46" s="30">
        <f>MATCH(-0.01,D25:ZZ25,-1)</f>
        <v>161</v>
      </c>
    </row>
    <row r="47" spans="1:5" ht="17" thickBot="1" x14ac:dyDescent="0.25">
      <c r="A47" t="s">
        <v>52</v>
      </c>
      <c r="B47" s="30">
        <f>B46-B49</f>
        <v>113</v>
      </c>
    </row>
    <row r="49" spans="1:2" x14ac:dyDescent="0.2">
      <c r="A49" t="s">
        <v>51</v>
      </c>
      <c r="B49" s="25">
        <f>IF($L$2=1,24,IF($L$2=0,48,"Unknown"))</f>
        <v>48</v>
      </c>
    </row>
  </sheetData>
  <conditionalFormatting sqref="D26:BO26 C23:FH25">
    <cfRule type="expression" dxfId="4" priority="2">
      <formula>C23&lt;&gt;0</formula>
    </cfRule>
  </conditionalFormatting>
  <conditionalFormatting sqref="C9:FH25">
    <cfRule type="expression" dxfId="3" priority="1">
      <formula>C$6&gt;$B$46</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16379-ACB8-F245-A51F-30E49A126F5E}">
  <sheetPr codeName="Sheet4"/>
  <dimension ref="A2:W43"/>
  <sheetViews>
    <sheetView topLeftCell="A5" zoomScaleNormal="100" workbookViewId="0">
      <selection activeCell="E30" sqref="E30"/>
    </sheetView>
  </sheetViews>
  <sheetFormatPr baseColWidth="10" defaultRowHeight="16" x14ac:dyDescent="0.2"/>
  <cols>
    <col min="1" max="1" width="26" bestFit="1" customWidth="1"/>
    <col min="2" max="2" width="12.6640625" bestFit="1" customWidth="1"/>
    <col min="3" max="4" width="12.5" bestFit="1" customWidth="1"/>
    <col min="5" max="5" width="13.33203125" customWidth="1"/>
    <col min="6" max="6" width="12.5" bestFit="1" customWidth="1"/>
    <col min="7" max="7" width="12.6640625" bestFit="1" customWidth="1"/>
    <col min="8" max="8" width="11.5" bestFit="1" customWidth="1"/>
    <col min="9" max="9" width="12.5" bestFit="1" customWidth="1"/>
    <col min="10" max="10" width="12.5" customWidth="1"/>
    <col min="11" max="12" width="12.5" bestFit="1" customWidth="1"/>
    <col min="14" max="14" width="11.5" bestFit="1" customWidth="1"/>
    <col min="15" max="15" width="13.83203125" customWidth="1"/>
    <col min="16" max="16" width="12.6640625" customWidth="1"/>
    <col min="17" max="17" width="12.5" bestFit="1" customWidth="1"/>
    <col min="18" max="20" width="11.5" bestFit="1" customWidth="1"/>
    <col min="21" max="21" width="12.5" customWidth="1"/>
    <col min="22" max="22" width="11.5" bestFit="1" customWidth="1"/>
    <col min="23" max="23" width="12.5" bestFit="1" customWidth="1"/>
  </cols>
  <sheetData>
    <row r="2" spans="1:23" x14ac:dyDescent="0.2">
      <c r="A2" s="45" t="s">
        <v>74</v>
      </c>
      <c r="B2" s="46"/>
      <c r="C2" s="46"/>
      <c r="D2" s="46"/>
      <c r="E2" s="46"/>
      <c r="F2" s="46"/>
      <c r="G2" s="46"/>
      <c r="H2" s="46"/>
      <c r="I2" s="46"/>
      <c r="J2" s="46"/>
      <c r="K2" s="46"/>
      <c r="L2" s="46"/>
      <c r="M2" s="47"/>
      <c r="N2" s="57">
        <f>IF(B4="2 Year",1,0)</f>
        <v>1</v>
      </c>
    </row>
    <row r="3" spans="1:23" x14ac:dyDescent="0.2">
      <c r="A3" s="53"/>
      <c r="B3" s="48"/>
      <c r="C3" s="48"/>
      <c r="D3" s="48"/>
      <c r="E3" s="48"/>
      <c r="F3" s="48"/>
      <c r="G3" s="48"/>
      <c r="H3" s="48"/>
      <c r="I3" s="48"/>
      <c r="J3" s="48"/>
      <c r="K3" s="48"/>
      <c r="L3" s="48"/>
      <c r="M3" s="49"/>
    </row>
    <row r="4" spans="1:23" x14ac:dyDescent="0.2">
      <c r="A4" s="54" t="s">
        <v>105</v>
      </c>
      <c r="B4" s="56" t="s">
        <v>160</v>
      </c>
      <c r="C4" s="51" t="s">
        <v>106</v>
      </c>
      <c r="D4" s="51"/>
      <c r="E4" s="51"/>
      <c r="F4" s="51"/>
      <c r="G4" s="51"/>
      <c r="H4" s="51"/>
      <c r="I4" s="51"/>
      <c r="J4" s="51"/>
      <c r="K4" s="51"/>
      <c r="L4" s="51"/>
      <c r="M4" s="52"/>
    </row>
    <row r="5" spans="1:23" x14ac:dyDescent="0.2">
      <c r="A5" s="9" t="s">
        <v>158</v>
      </c>
      <c r="B5" s="48"/>
      <c r="C5" s="48"/>
      <c r="D5" s="48"/>
      <c r="E5" s="48"/>
      <c r="F5" s="48"/>
      <c r="G5" s="48"/>
      <c r="H5" s="48"/>
      <c r="I5" s="48"/>
      <c r="J5" s="48"/>
      <c r="K5" s="48"/>
      <c r="L5" s="48"/>
      <c r="M5" s="48"/>
    </row>
    <row r="6" spans="1:23" x14ac:dyDescent="0.2">
      <c r="A6" s="1"/>
    </row>
    <row r="7" spans="1:23" x14ac:dyDescent="0.2">
      <c r="C7" s="1" t="s">
        <v>0</v>
      </c>
      <c r="D7" s="1" t="s">
        <v>1</v>
      </c>
      <c r="E7" s="1" t="s">
        <v>148</v>
      </c>
      <c r="F7" s="1" t="s">
        <v>13</v>
      </c>
      <c r="G7" s="1"/>
      <c r="H7" s="1" t="s">
        <v>2</v>
      </c>
      <c r="I7" s="1" t="s">
        <v>3</v>
      </c>
      <c r="J7" s="1" t="s">
        <v>149</v>
      </c>
      <c r="K7" s="1" t="s">
        <v>13</v>
      </c>
      <c r="L7" s="1" t="s">
        <v>14</v>
      </c>
      <c r="N7" s="1" t="s">
        <v>15</v>
      </c>
      <c r="O7" s="1" t="s">
        <v>16</v>
      </c>
      <c r="P7" s="1" t="s">
        <v>151</v>
      </c>
      <c r="Q7" s="1" t="s">
        <v>13</v>
      </c>
      <c r="S7" s="1" t="s">
        <v>40</v>
      </c>
      <c r="T7" s="1" t="s">
        <v>41</v>
      </c>
      <c r="U7" s="1" t="s">
        <v>152</v>
      </c>
      <c r="V7" s="1" t="s">
        <v>13</v>
      </c>
      <c r="W7" s="1" t="s">
        <v>42</v>
      </c>
    </row>
    <row r="8" spans="1:23" x14ac:dyDescent="0.2">
      <c r="A8" s="1" t="s">
        <v>5</v>
      </c>
      <c r="B8" s="1"/>
    </row>
    <row r="9" spans="1:23" x14ac:dyDescent="0.2">
      <c r="A9" t="s">
        <v>4</v>
      </c>
      <c r="C9" s="10">
        <f>50548/2</f>
        <v>25274</v>
      </c>
      <c r="D9" s="10">
        <f>50548/2</f>
        <v>25274</v>
      </c>
      <c r="E9" s="10">
        <v>0</v>
      </c>
      <c r="F9" s="11">
        <f>SUM(C9:E9)</f>
        <v>50548</v>
      </c>
      <c r="G9" s="2"/>
      <c r="H9" s="10">
        <f>50548/2</f>
        <v>25274</v>
      </c>
      <c r="I9" s="10">
        <f>50548/2</f>
        <v>25274</v>
      </c>
      <c r="J9" s="10">
        <v>0</v>
      </c>
      <c r="K9" s="11">
        <f>SUM(H9:J9)</f>
        <v>50548</v>
      </c>
      <c r="L9" s="12">
        <f>F9+K9</f>
        <v>101096</v>
      </c>
      <c r="N9" s="10">
        <f>50548/2</f>
        <v>25274</v>
      </c>
      <c r="O9" s="10">
        <f>50548/2</f>
        <v>25274</v>
      </c>
      <c r="P9" s="10">
        <v>0</v>
      </c>
      <c r="Q9" s="11">
        <f>SUM(N9:P9)</f>
        <v>50548</v>
      </c>
      <c r="S9" s="10">
        <f>50548/2</f>
        <v>25274</v>
      </c>
      <c r="T9" s="10">
        <f>50548/2</f>
        <v>25274</v>
      </c>
      <c r="U9" s="10">
        <v>0</v>
      </c>
      <c r="V9" s="11">
        <f>SUM(S9:U9)</f>
        <v>50548</v>
      </c>
      <c r="W9" s="77">
        <f>V9+Q9+L9</f>
        <v>202192</v>
      </c>
    </row>
    <row r="10" spans="1:23" x14ac:dyDescent="0.2">
      <c r="A10" s="1" t="s">
        <v>96</v>
      </c>
    </row>
    <row r="11" spans="1:23" x14ac:dyDescent="0.2">
      <c r="A11" t="s">
        <v>6</v>
      </c>
      <c r="C11" s="10">
        <v>0</v>
      </c>
      <c r="D11" s="10">
        <v>0</v>
      </c>
      <c r="E11" s="10">
        <v>0</v>
      </c>
      <c r="F11" s="11">
        <f>SUM(C11:E11)</f>
        <v>0</v>
      </c>
      <c r="G11" s="2"/>
      <c r="H11" s="10">
        <v>0</v>
      </c>
      <c r="I11" s="10">
        <v>0</v>
      </c>
      <c r="J11" s="10">
        <v>0</v>
      </c>
      <c r="K11" s="11">
        <f>SUM(H11:J11)</f>
        <v>0</v>
      </c>
      <c r="L11" s="11">
        <f>F11+K11</f>
        <v>0</v>
      </c>
      <c r="N11" s="10">
        <v>0</v>
      </c>
      <c r="O11" s="10">
        <v>0</v>
      </c>
      <c r="P11" s="10">
        <v>0</v>
      </c>
      <c r="Q11" s="11">
        <f>SUM(N11:P11)</f>
        <v>0</v>
      </c>
      <c r="S11" s="10">
        <v>0</v>
      </c>
      <c r="T11" s="10">
        <v>0</v>
      </c>
      <c r="U11" s="10">
        <v>0</v>
      </c>
      <c r="V11" s="11">
        <f>SUM(S11:U11)</f>
        <v>0</v>
      </c>
      <c r="W11" s="77">
        <f>V11+Q11+L11</f>
        <v>0</v>
      </c>
    </row>
    <row r="12" spans="1:23" x14ac:dyDescent="0.2">
      <c r="A12" t="s">
        <v>97</v>
      </c>
      <c r="C12" s="10">
        <v>0</v>
      </c>
      <c r="D12" s="10">
        <v>0</v>
      </c>
      <c r="E12" s="10">
        <v>0</v>
      </c>
      <c r="F12" s="11">
        <f>SUM(C12:E12)</f>
        <v>0</v>
      </c>
      <c r="G12" s="2"/>
      <c r="H12" s="10">
        <v>0</v>
      </c>
      <c r="I12" s="10">
        <v>0</v>
      </c>
      <c r="J12" s="10">
        <v>0</v>
      </c>
      <c r="K12" s="11">
        <f>SUM(H12:J12)</f>
        <v>0</v>
      </c>
      <c r="L12" s="11">
        <f>F12+K12</f>
        <v>0</v>
      </c>
      <c r="N12" s="10">
        <v>0</v>
      </c>
      <c r="O12" s="10">
        <v>0</v>
      </c>
      <c r="P12" s="10">
        <v>0</v>
      </c>
      <c r="Q12" s="11">
        <f>SUM(N12:P12)</f>
        <v>0</v>
      </c>
      <c r="S12" s="10">
        <v>0</v>
      </c>
      <c r="T12" s="10">
        <v>0</v>
      </c>
      <c r="U12" s="10">
        <v>0</v>
      </c>
      <c r="V12" s="11">
        <f>SUM(S12:U12)</f>
        <v>0</v>
      </c>
      <c r="W12" s="77">
        <f>V12+Q12+L12</f>
        <v>0</v>
      </c>
    </row>
    <row r="14" spans="1:23" x14ac:dyDescent="0.2">
      <c r="A14" s="1" t="s">
        <v>7</v>
      </c>
      <c r="B14" s="1"/>
      <c r="C14" s="13">
        <f>C9-(C11+C12)</f>
        <v>25274</v>
      </c>
      <c r="D14" s="13">
        <f>D9-(D11+D12)</f>
        <v>25274</v>
      </c>
      <c r="E14" s="13">
        <f>E9-(E11+E12)</f>
        <v>0</v>
      </c>
      <c r="F14" s="13">
        <f>F9-(F11+F12)</f>
        <v>50548</v>
      </c>
      <c r="H14" s="13">
        <f>H9-(H11+H12)</f>
        <v>25274</v>
      </c>
      <c r="I14" s="13">
        <f>I9-(I11+I12)</f>
        <v>25274</v>
      </c>
      <c r="J14" s="13">
        <f>J9-(J11+J12)</f>
        <v>0</v>
      </c>
      <c r="K14" s="13">
        <f>K9-(K11+K12)</f>
        <v>50548</v>
      </c>
      <c r="L14" s="13">
        <f>L9-(L11+L12)</f>
        <v>101096</v>
      </c>
      <c r="N14" s="13">
        <f>N9-(N11+N12)</f>
        <v>25274</v>
      </c>
      <c r="O14" s="13">
        <f>O9-(O11+O12)</f>
        <v>25274</v>
      </c>
      <c r="P14" s="13">
        <f>P9-(P11+P12)</f>
        <v>0</v>
      </c>
      <c r="Q14" s="13">
        <f>Q9-(Q11+Q12)</f>
        <v>50548</v>
      </c>
      <c r="S14" s="13">
        <f>S9-(S11+S12)</f>
        <v>25274</v>
      </c>
      <c r="T14" s="13">
        <f>T9-(T11+T12)</f>
        <v>25274</v>
      </c>
      <c r="U14" s="13">
        <f>U9-(U11+U12)</f>
        <v>0</v>
      </c>
      <c r="V14" s="13">
        <f>V9-(V11+V12)</f>
        <v>50548</v>
      </c>
      <c r="W14" s="13">
        <f>V14+Q14+L14</f>
        <v>202192</v>
      </c>
    </row>
    <row r="16" spans="1:23" x14ac:dyDescent="0.2">
      <c r="A16" s="1" t="s">
        <v>8</v>
      </c>
      <c r="B16" s="1"/>
    </row>
    <row r="17" spans="1:23" x14ac:dyDescent="0.2">
      <c r="A17" t="s">
        <v>9</v>
      </c>
      <c r="C17" s="22">
        <v>0</v>
      </c>
      <c r="D17" s="22">
        <v>0</v>
      </c>
      <c r="E17" s="22">
        <v>0</v>
      </c>
      <c r="F17" s="11">
        <f>SUM(C17:E17)</f>
        <v>0</v>
      </c>
      <c r="G17" s="2"/>
      <c r="H17" s="22">
        <v>0</v>
      </c>
      <c r="I17" s="22">
        <v>0</v>
      </c>
      <c r="J17" s="22">
        <v>0</v>
      </c>
      <c r="K17" s="11">
        <f>SUM(H17:J17)</f>
        <v>0</v>
      </c>
      <c r="L17" s="11">
        <f>K17+F17</f>
        <v>0</v>
      </c>
      <c r="M17" s="2"/>
      <c r="N17" s="22">
        <v>0</v>
      </c>
      <c r="O17" s="22">
        <v>0</v>
      </c>
      <c r="P17" s="22">
        <v>0</v>
      </c>
      <c r="Q17" s="11">
        <f>SUM(N17:P17)</f>
        <v>0</v>
      </c>
      <c r="S17" s="22">
        <v>0</v>
      </c>
      <c r="T17" s="22">
        <v>0</v>
      </c>
      <c r="U17" s="22">
        <v>0</v>
      </c>
      <c r="V17" s="11">
        <f>SUM(S17:U17)</f>
        <v>0</v>
      </c>
      <c r="W17" s="77">
        <f>V17+Q17+L17</f>
        <v>0</v>
      </c>
    </row>
    <row r="18" spans="1:23" x14ac:dyDescent="0.2">
      <c r="A18" s="3" t="s">
        <v>19</v>
      </c>
      <c r="B18" s="3"/>
      <c r="C18" s="14">
        <f>3552/2</f>
        <v>1776</v>
      </c>
      <c r="D18" s="14">
        <f>3552/2</f>
        <v>1776</v>
      </c>
      <c r="E18" s="14">
        <v>0</v>
      </c>
      <c r="F18" s="11">
        <f t="shared" ref="F18:F21" si="0">SUM(C18:E18)</f>
        <v>3552</v>
      </c>
      <c r="G18" s="2"/>
      <c r="H18" s="14">
        <f>3552/2</f>
        <v>1776</v>
      </c>
      <c r="I18" s="14">
        <f>3552/2</f>
        <v>1776</v>
      </c>
      <c r="J18" s="14">
        <v>0</v>
      </c>
      <c r="K18" s="11">
        <f t="shared" ref="K18:K21" si="1">SUM(H18:J18)</f>
        <v>3552</v>
      </c>
      <c r="L18" s="12">
        <f t="shared" ref="L18" si="2">F18+K18</f>
        <v>7104</v>
      </c>
      <c r="N18" s="14">
        <f>3552/2</f>
        <v>1776</v>
      </c>
      <c r="O18" s="14">
        <f>3552/2</f>
        <v>1776</v>
      </c>
      <c r="P18" s="14">
        <v>0</v>
      </c>
      <c r="Q18" s="11">
        <f t="shared" ref="Q18:Q21" si="3">SUM(N18:P18)</f>
        <v>3552</v>
      </c>
      <c r="S18" s="14">
        <f>3552/2</f>
        <v>1776</v>
      </c>
      <c r="T18" s="14">
        <f>3552/2</f>
        <v>1776</v>
      </c>
      <c r="U18" s="14">
        <v>0</v>
      </c>
      <c r="V18" s="11">
        <f t="shared" ref="V18:V21" si="4">SUM(S18:U18)</f>
        <v>3552</v>
      </c>
      <c r="W18" s="77">
        <f>V18+Q18+L18</f>
        <v>14208</v>
      </c>
    </row>
    <row r="19" spans="1:23" x14ac:dyDescent="0.2">
      <c r="A19" t="s">
        <v>18</v>
      </c>
      <c r="C19" s="14">
        <f>822/2</f>
        <v>411</v>
      </c>
      <c r="D19" s="14">
        <f>822/2</f>
        <v>411</v>
      </c>
      <c r="E19" s="14">
        <v>0</v>
      </c>
      <c r="F19" s="11">
        <f t="shared" si="0"/>
        <v>822</v>
      </c>
      <c r="G19" s="2"/>
      <c r="H19" s="14">
        <f>822/2</f>
        <v>411</v>
      </c>
      <c r="I19" s="14">
        <f>822/2</f>
        <v>411</v>
      </c>
      <c r="J19" s="14">
        <v>0</v>
      </c>
      <c r="K19" s="11">
        <f t="shared" si="1"/>
        <v>822</v>
      </c>
      <c r="L19" s="12">
        <f t="shared" ref="L19" si="5">F19+K19</f>
        <v>1644</v>
      </c>
      <c r="N19" s="14">
        <f>822/2</f>
        <v>411</v>
      </c>
      <c r="O19" s="14">
        <f>822/2</f>
        <v>411</v>
      </c>
      <c r="P19" s="14">
        <v>0</v>
      </c>
      <c r="Q19" s="11">
        <f t="shared" si="3"/>
        <v>822</v>
      </c>
      <c r="S19" s="14">
        <f>822/2</f>
        <v>411</v>
      </c>
      <c r="T19" s="14">
        <f>822/2</f>
        <v>411</v>
      </c>
      <c r="U19" s="14">
        <v>0</v>
      </c>
      <c r="V19" s="11">
        <f t="shared" si="4"/>
        <v>822</v>
      </c>
      <c r="W19" s="77">
        <f>V19+Q19+L19</f>
        <v>3288</v>
      </c>
    </row>
    <row r="20" spans="1:23" x14ac:dyDescent="0.2">
      <c r="A20" s="3" t="s">
        <v>20</v>
      </c>
      <c r="B20" s="3"/>
      <c r="C20" s="14">
        <f>648/2</f>
        <v>324</v>
      </c>
      <c r="D20" s="14">
        <f>648/2</f>
        <v>324</v>
      </c>
      <c r="E20" s="14">
        <v>0</v>
      </c>
      <c r="F20" s="11">
        <f t="shared" si="0"/>
        <v>648</v>
      </c>
      <c r="G20" s="2"/>
      <c r="H20" s="14">
        <f>648/2</f>
        <v>324</v>
      </c>
      <c r="I20" s="14">
        <f>648/2</f>
        <v>324</v>
      </c>
      <c r="J20" s="14">
        <v>0</v>
      </c>
      <c r="K20" s="11">
        <f t="shared" si="1"/>
        <v>648</v>
      </c>
      <c r="L20" s="12">
        <f t="shared" ref="L20" si="6">F20+K20</f>
        <v>1296</v>
      </c>
      <c r="N20" s="14">
        <f>648/2</f>
        <v>324</v>
      </c>
      <c r="O20" s="14">
        <f>648/2</f>
        <v>324</v>
      </c>
      <c r="P20" s="14">
        <v>0</v>
      </c>
      <c r="Q20" s="11">
        <f t="shared" si="3"/>
        <v>648</v>
      </c>
      <c r="S20" s="14">
        <f>648/2</f>
        <v>324</v>
      </c>
      <c r="T20" s="14">
        <f>648/2</f>
        <v>324</v>
      </c>
      <c r="U20" s="14">
        <v>0</v>
      </c>
      <c r="V20" s="11">
        <f t="shared" si="4"/>
        <v>648</v>
      </c>
      <c r="W20" s="77">
        <f>V20+Q20+L20</f>
        <v>2592</v>
      </c>
    </row>
    <row r="21" spans="1:23" x14ac:dyDescent="0.2">
      <c r="A21" s="3" t="s">
        <v>104</v>
      </c>
      <c r="B21" s="3"/>
      <c r="C21" s="22">
        <v>0</v>
      </c>
      <c r="D21" s="22">
        <v>0</v>
      </c>
      <c r="E21" s="22">
        <v>0</v>
      </c>
      <c r="F21" s="11">
        <f t="shared" si="0"/>
        <v>0</v>
      </c>
      <c r="G21" s="2"/>
      <c r="H21" s="22">
        <v>0</v>
      </c>
      <c r="I21" s="22">
        <v>0</v>
      </c>
      <c r="J21" s="22">
        <v>0</v>
      </c>
      <c r="K21" s="11">
        <f t="shared" si="1"/>
        <v>0</v>
      </c>
      <c r="L21" s="11">
        <f>K21+F21</f>
        <v>0</v>
      </c>
      <c r="M21" s="2"/>
      <c r="N21" s="22">
        <v>0</v>
      </c>
      <c r="O21" s="22">
        <v>0</v>
      </c>
      <c r="P21" s="22">
        <v>0</v>
      </c>
      <c r="Q21" s="11">
        <f t="shared" si="3"/>
        <v>0</v>
      </c>
      <c r="S21" s="22">
        <v>0</v>
      </c>
      <c r="T21" s="22">
        <v>0</v>
      </c>
      <c r="U21" s="22">
        <v>0</v>
      </c>
      <c r="V21" s="11">
        <f t="shared" si="4"/>
        <v>0</v>
      </c>
      <c r="W21" s="77">
        <f>V21+Q21+L21</f>
        <v>0</v>
      </c>
    </row>
    <row r="22" spans="1:23" x14ac:dyDescent="0.2">
      <c r="A22" s="1"/>
      <c r="B22" s="1"/>
      <c r="C22" s="2"/>
      <c r="D22" s="2"/>
      <c r="E22" s="2"/>
      <c r="F22" s="2"/>
      <c r="G22" s="2"/>
      <c r="H22" s="2"/>
      <c r="I22" s="2"/>
      <c r="J22" s="2"/>
      <c r="K22" s="2"/>
      <c r="N22" s="2"/>
      <c r="O22" s="2"/>
      <c r="P22" s="2"/>
      <c r="Q22" s="2"/>
      <c r="S22" s="2"/>
      <c r="T22" s="2"/>
      <c r="U22" s="2"/>
      <c r="V22" s="2"/>
      <c r="W22" s="48"/>
    </row>
    <row r="23" spans="1:23" x14ac:dyDescent="0.2">
      <c r="A23" s="1" t="s">
        <v>10</v>
      </c>
      <c r="B23" s="1"/>
      <c r="C23" s="15">
        <f>SUM(C17:C21)</f>
        <v>2511</v>
      </c>
      <c r="D23" s="15">
        <f>SUM(D17:D21)</f>
        <v>2511</v>
      </c>
      <c r="E23" s="15">
        <f>SUM(E17:E21)</f>
        <v>0</v>
      </c>
      <c r="F23" s="15">
        <f>SUM(F17:F21)</f>
        <v>5022</v>
      </c>
      <c r="G23" s="78"/>
      <c r="H23" s="15">
        <f>SUM(H17:H21)</f>
        <v>2511</v>
      </c>
      <c r="I23" s="15">
        <f>SUM(I17:I21)</f>
        <v>2511</v>
      </c>
      <c r="J23" s="15">
        <f>SUM(J17:J21)</f>
        <v>0</v>
      </c>
      <c r="K23" s="15">
        <f>SUM(K17:K21)</f>
        <v>5022</v>
      </c>
      <c r="L23" s="15">
        <f>SUM(L17:L21)</f>
        <v>10044</v>
      </c>
      <c r="N23" s="15">
        <f>SUM(N17:N21)</f>
        <v>2511</v>
      </c>
      <c r="O23" s="15">
        <f>SUM(O17:O21)</f>
        <v>2511</v>
      </c>
      <c r="P23" s="15">
        <f>SUM(P17:P21)</f>
        <v>0</v>
      </c>
      <c r="Q23" s="15">
        <f>SUM(Q17:Q21)</f>
        <v>5022</v>
      </c>
      <c r="S23" s="15">
        <f>SUM(S17:S21)</f>
        <v>2511</v>
      </c>
      <c r="T23" s="15">
        <f>SUM(T17:T21)</f>
        <v>2511</v>
      </c>
      <c r="U23" s="15">
        <f>SUM(U17:U21)</f>
        <v>0</v>
      </c>
      <c r="V23" s="15">
        <f>SUM(V17:V21)</f>
        <v>5022</v>
      </c>
      <c r="W23" s="13">
        <f>V23+Q23+L23</f>
        <v>20088</v>
      </c>
    </row>
    <row r="24" spans="1:23" x14ac:dyDescent="0.2">
      <c r="G24" s="48"/>
    </row>
    <row r="25" spans="1:23" x14ac:dyDescent="0.2">
      <c r="A25" s="1" t="s">
        <v>11</v>
      </c>
      <c r="B25" s="1"/>
      <c r="C25" s="16">
        <f>C14+C23</f>
        <v>27785</v>
      </c>
      <c r="D25" s="16">
        <f>D14+D23</f>
        <v>27785</v>
      </c>
      <c r="E25" s="16">
        <f>E14+E23</f>
        <v>0</v>
      </c>
      <c r="F25" s="16">
        <f>F14+F23</f>
        <v>55570</v>
      </c>
      <c r="G25" s="6"/>
      <c r="H25" s="16">
        <f>H14+H23</f>
        <v>27785</v>
      </c>
      <c r="I25" s="16">
        <f>I14+I23</f>
        <v>27785</v>
      </c>
      <c r="J25" s="16">
        <f>J14+J23</f>
        <v>0</v>
      </c>
      <c r="K25" s="16">
        <f>K14+K23</f>
        <v>55570</v>
      </c>
      <c r="L25" s="19">
        <f>L14+L23</f>
        <v>111140</v>
      </c>
      <c r="N25" s="16">
        <f>N14+N23</f>
        <v>27785</v>
      </c>
      <c r="O25" s="16">
        <f>O14+O23</f>
        <v>27785</v>
      </c>
      <c r="P25" s="16">
        <f>P14+P23</f>
        <v>0</v>
      </c>
      <c r="Q25" s="16">
        <f>Q14+Q23</f>
        <v>55570</v>
      </c>
      <c r="S25" s="16">
        <f>S14+S23</f>
        <v>27785</v>
      </c>
      <c r="T25" s="16">
        <f>T14+T23</f>
        <v>27785</v>
      </c>
      <c r="U25" s="16">
        <f>U14+U23</f>
        <v>0</v>
      </c>
      <c r="V25" s="16">
        <f>V14+V23</f>
        <v>55570</v>
      </c>
      <c r="W25" s="19">
        <f>V25+Q25+L25</f>
        <v>222280</v>
      </c>
    </row>
    <row r="26" spans="1:23" ht="17" thickBot="1" x14ac:dyDescent="0.25">
      <c r="A26" s="1"/>
      <c r="B26" s="1"/>
      <c r="C26" s="6"/>
      <c r="D26" s="6"/>
      <c r="E26" s="6"/>
      <c r="F26" s="6"/>
      <c r="G26" s="6"/>
      <c r="H26" s="6"/>
      <c r="I26" s="6"/>
      <c r="J26" s="6"/>
      <c r="K26" s="6"/>
      <c r="L26" s="7"/>
    </row>
    <row r="27" spans="1:23" ht="17" thickBot="1" x14ac:dyDescent="0.25">
      <c r="A27" s="1" t="s">
        <v>159</v>
      </c>
      <c r="B27" s="1"/>
      <c r="C27" s="20">
        <f>L25</f>
        <v>111140</v>
      </c>
      <c r="D27" s="21">
        <f>W25</f>
        <v>222280</v>
      </c>
      <c r="E27" s="79"/>
      <c r="F27" s="6"/>
      <c r="G27" s="6"/>
      <c r="H27" s="6"/>
      <c r="I27" s="6"/>
      <c r="J27" s="6"/>
      <c r="K27" s="6"/>
      <c r="L27" s="7"/>
    </row>
    <row r="28" spans="1:23" x14ac:dyDescent="0.2">
      <c r="D28" s="6"/>
      <c r="E28" s="6"/>
      <c r="F28" s="6"/>
      <c r="G28" s="6"/>
      <c r="H28" s="6"/>
      <c r="I28" s="6"/>
      <c r="J28" s="6"/>
      <c r="K28" s="6"/>
      <c r="L28" s="7"/>
    </row>
    <row r="29" spans="1:23" x14ac:dyDescent="0.2">
      <c r="D29" s="6" t="s">
        <v>157</v>
      </c>
      <c r="E29" s="6"/>
      <c r="F29" s="6"/>
      <c r="G29" s="6"/>
      <c r="H29" s="6"/>
      <c r="I29" s="6"/>
      <c r="J29" s="6"/>
      <c r="K29" s="6"/>
      <c r="L29" s="7"/>
    </row>
    <row r="30" spans="1:23" x14ac:dyDescent="0.2">
      <c r="A30" s="1" t="s">
        <v>153</v>
      </c>
      <c r="B30" s="1"/>
      <c r="C30" s="17">
        <f>C25</f>
        <v>27785</v>
      </c>
      <c r="D30" s="80">
        <v>0</v>
      </c>
      <c r="G30" s="6"/>
      <c r="I30" s="6"/>
      <c r="J30" s="6"/>
      <c r="K30" s="6"/>
      <c r="L30" s="7"/>
    </row>
    <row r="31" spans="1:23" x14ac:dyDescent="0.2">
      <c r="A31" s="1" t="s">
        <v>154</v>
      </c>
      <c r="B31" s="1"/>
      <c r="C31" s="17">
        <f>PV($G$34, D31, 0, -D25)</f>
        <v>27146.028763112008</v>
      </c>
      <c r="D31" s="81">
        <v>4</v>
      </c>
      <c r="G31" s="6"/>
      <c r="I31" s="6"/>
      <c r="J31" s="6"/>
      <c r="K31" s="6"/>
      <c r="L31" s="7"/>
    </row>
    <row r="32" spans="1:23" x14ac:dyDescent="0.2">
      <c r="A32" s="4" t="s">
        <v>155</v>
      </c>
      <c r="B32" s="4"/>
      <c r="C32" s="17">
        <f>PV($G$34, D32, 0, -E25)</f>
        <v>0</v>
      </c>
      <c r="D32" s="81">
        <v>8</v>
      </c>
      <c r="E32" s="1"/>
      <c r="G32" s="6"/>
      <c r="I32" s="6"/>
      <c r="J32" s="6"/>
      <c r="K32" s="6"/>
      <c r="L32" s="7"/>
    </row>
    <row r="33" spans="1:12" x14ac:dyDescent="0.2">
      <c r="A33" s="1" t="s">
        <v>153</v>
      </c>
      <c r="B33" s="4"/>
      <c r="C33" s="17">
        <f>PV($G$34, D33, 0, -H25)</f>
        <v>25911.831598603767</v>
      </c>
      <c r="D33" s="82">
        <v>12</v>
      </c>
      <c r="E33" s="6"/>
      <c r="F33" s="1" t="s">
        <v>88</v>
      </c>
      <c r="G33" s="5">
        <v>7.0000000000000007E-2</v>
      </c>
      <c r="H33" s="18"/>
      <c r="I33" s="6"/>
      <c r="J33" s="6"/>
      <c r="K33" s="6"/>
      <c r="L33" s="7"/>
    </row>
    <row r="34" spans="1:12" x14ac:dyDescent="0.2">
      <c r="A34" s="1" t="s">
        <v>154</v>
      </c>
      <c r="B34" s="4"/>
      <c r="C34" s="17">
        <f>PV($G$34, D34, 0, -I25)</f>
        <v>25315.937587929187</v>
      </c>
      <c r="D34" s="82">
        <v>16</v>
      </c>
      <c r="E34" s="6"/>
      <c r="F34" s="1" t="s">
        <v>17</v>
      </c>
      <c r="G34" s="43">
        <f>G33/12</f>
        <v>5.8333333333333336E-3</v>
      </c>
      <c r="H34" s="18"/>
      <c r="I34" s="6"/>
      <c r="J34" s="6"/>
      <c r="K34" s="6"/>
      <c r="L34" s="7"/>
    </row>
    <row r="35" spans="1:12" ht="17" thickBot="1" x14ac:dyDescent="0.25">
      <c r="A35" s="4" t="s">
        <v>155</v>
      </c>
      <c r="B35" s="1"/>
      <c r="C35" s="17">
        <f>PV($G$34, D35, 0, -J25)</f>
        <v>0</v>
      </c>
      <c r="D35" s="80">
        <v>20</v>
      </c>
      <c r="E35" s="6"/>
      <c r="K35" s="6"/>
      <c r="L35" s="7"/>
    </row>
    <row r="36" spans="1:12" ht="17" thickBot="1" x14ac:dyDescent="0.25">
      <c r="A36" s="1" t="s">
        <v>54</v>
      </c>
      <c r="B36" s="1"/>
      <c r="C36" s="21">
        <f>SUM(C30:C35)</f>
        <v>106158.79794964497</v>
      </c>
      <c r="D36" s="82"/>
      <c r="E36" s="6"/>
      <c r="F36" s="6"/>
      <c r="G36" s="6"/>
      <c r="K36" s="6"/>
      <c r="L36" s="7"/>
    </row>
    <row r="37" spans="1:12" x14ac:dyDescent="0.2">
      <c r="A37" s="1" t="s">
        <v>153</v>
      </c>
      <c r="B37" s="1"/>
      <c r="C37" s="17">
        <f>PV($G$34, D37, 0, -N25)</f>
        <v>24164.945718711555</v>
      </c>
      <c r="D37" s="83">
        <v>24</v>
      </c>
      <c r="K37" s="6"/>
      <c r="L37" s="7"/>
    </row>
    <row r="38" spans="1:12" x14ac:dyDescent="0.2">
      <c r="A38" s="1" t="s">
        <v>154</v>
      </c>
      <c r="B38" s="4"/>
      <c r="C38" s="17">
        <f>PV($G$34, D38, 0, -O25)</f>
        <v>23609.224816958224</v>
      </c>
      <c r="D38" s="83">
        <v>28</v>
      </c>
      <c r="K38" s="6"/>
      <c r="L38" s="7"/>
    </row>
    <row r="39" spans="1:12" x14ac:dyDescent="0.2">
      <c r="A39" s="4" t="s">
        <v>155</v>
      </c>
      <c r="B39" s="4"/>
      <c r="C39" s="17">
        <f>PV($G$34, D39, 0, -P25)</f>
        <v>0</v>
      </c>
      <c r="D39" s="82">
        <v>32</v>
      </c>
      <c r="E39" s="6"/>
      <c r="F39" s="6"/>
      <c r="G39" s="6"/>
      <c r="K39" s="6"/>
      <c r="L39" s="7"/>
    </row>
    <row r="40" spans="1:12" x14ac:dyDescent="0.2">
      <c r="A40" s="1" t="s">
        <v>153</v>
      </c>
      <c r="B40" s="1"/>
      <c r="C40" s="17">
        <f>PV($G$34, D40, 0, -S25)</f>
        <v>22535.828830399671</v>
      </c>
      <c r="D40" s="82">
        <v>36</v>
      </c>
      <c r="E40" s="6"/>
      <c r="F40" s="6"/>
      <c r="G40" s="6"/>
      <c r="K40" s="6"/>
      <c r="L40" s="7"/>
    </row>
    <row r="41" spans="1:12" x14ac:dyDescent="0.2">
      <c r="A41" s="1" t="s">
        <v>154</v>
      </c>
      <c r="B41" s="1"/>
      <c r="C41" s="17">
        <f>PV($G$34, D41, 0, -T25)</f>
        <v>22017.572705798029</v>
      </c>
      <c r="D41" s="82">
        <v>40</v>
      </c>
      <c r="E41" s="6"/>
      <c r="F41" s="6"/>
      <c r="G41" s="6"/>
      <c r="H41" s="6"/>
      <c r="I41" s="6"/>
      <c r="J41" s="6"/>
      <c r="K41" s="6"/>
      <c r="L41" s="7"/>
    </row>
    <row r="42" spans="1:12" ht="17" thickBot="1" x14ac:dyDescent="0.25">
      <c r="A42" s="4" t="s">
        <v>155</v>
      </c>
      <c r="C42" s="17">
        <f>PV($G$34, D42, 0, -U25)</f>
        <v>0</v>
      </c>
      <c r="D42" s="83">
        <v>44</v>
      </c>
    </row>
    <row r="43" spans="1:12" ht="17" thickBot="1" x14ac:dyDescent="0.25">
      <c r="A43" s="4" t="s">
        <v>156</v>
      </c>
      <c r="C43" s="21">
        <f>SUM(C36:C42)</f>
        <v>198486.37002151244</v>
      </c>
    </row>
  </sheetData>
  <conditionalFormatting sqref="N7:W25">
    <cfRule type="expression" dxfId="2" priority="1">
      <formula>$N$2=1</formula>
    </cfRule>
  </conditionalFormatting>
  <dataValidations count="1">
    <dataValidation type="list" showInputMessage="1" showErrorMessage="1" promptTitle="Program Length" prompt="Choose the length of your program." sqref="B4" xr:uid="{0A936474-22A4-1546-9E64-9889580BE260}">
      <formula1>"2 Year, 4 Year, Custom"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acro1">
                <anchor moveWithCells="1" sizeWithCells="1">
                  <from>
                    <xdr:col>6</xdr:col>
                    <xdr:colOff>736600</xdr:colOff>
                    <xdr:row>27</xdr:row>
                    <xdr:rowOff>50800</xdr:rowOff>
                  </from>
                  <to>
                    <xdr:col>9</xdr:col>
                    <xdr:colOff>647700</xdr:colOff>
                    <xdr:row>29</xdr:row>
                    <xdr:rowOff>63500</xdr:rowOff>
                  </to>
                </anchor>
              </controlPr>
            </control>
          </mc:Choice>
        </mc:AlternateContent>
        <mc:AlternateContent xmlns:mc="http://schemas.openxmlformats.org/markup-compatibility/2006">
          <mc:Choice Requires="x14">
            <control shapeId="5125" r:id="rId4" name="Button 5">
              <controlPr defaultSize="0" print="0" autoFill="0" autoPict="0" macro="[0]!Macro2" altText="Delete Bottom Indirect Expense Row">
                <anchor moveWithCells="1" sizeWithCells="1">
                  <from>
                    <xdr:col>9</xdr:col>
                    <xdr:colOff>698500</xdr:colOff>
                    <xdr:row>27</xdr:row>
                    <xdr:rowOff>63500</xdr:rowOff>
                  </from>
                  <to>
                    <xdr:col>12</xdr:col>
                    <xdr:colOff>482600</xdr:colOff>
                    <xdr:row>29</xdr:row>
                    <xdr:rowOff>63500</xdr:rowOff>
                  </to>
                </anchor>
              </controlPr>
            </control>
          </mc:Choice>
        </mc:AlternateContent>
        <mc:AlternateContent xmlns:mc="http://schemas.openxmlformats.org/markup-compatibility/2006">
          <mc:Choice Requires="x14">
            <control shapeId="5129" r:id="rId5" name="Button 9">
              <controlPr defaultSize="0" print="0" autoFill="0" autoPict="0" macro="[0]!Hide_Summer">
                <anchor moveWithCells="1" sizeWithCells="1">
                  <from>
                    <xdr:col>2</xdr:col>
                    <xdr:colOff>12700</xdr:colOff>
                    <xdr:row>4</xdr:row>
                    <xdr:rowOff>12700</xdr:rowOff>
                  </from>
                  <to>
                    <xdr:col>3</xdr:col>
                    <xdr:colOff>38100</xdr:colOff>
                    <xdr:row>5</xdr:row>
                    <xdr:rowOff>0</xdr:rowOff>
                  </to>
                </anchor>
              </controlPr>
            </control>
          </mc:Choice>
        </mc:AlternateContent>
        <mc:AlternateContent xmlns:mc="http://schemas.openxmlformats.org/markup-compatibility/2006">
          <mc:Choice Requires="x14">
            <control shapeId="5130" r:id="rId6" name="Button 10">
              <controlPr defaultSize="0" print="0" autoFill="0" autoPict="0" macro="[0]!Unhide_Summer">
                <anchor moveWithCells="1" sizeWithCells="1">
                  <from>
                    <xdr:col>0</xdr:col>
                    <xdr:colOff>1955800</xdr:colOff>
                    <xdr:row>4</xdr:row>
                    <xdr:rowOff>12700</xdr:rowOff>
                  </from>
                  <to>
                    <xdr:col>1</xdr:col>
                    <xdr:colOff>952500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5BECF-BF2D-134A-B705-ABEE09ED853B}">
  <sheetPr codeName="Sheet2"/>
  <dimension ref="A1:FH49"/>
  <sheetViews>
    <sheetView topLeftCell="A2" workbookViewId="0">
      <selection activeCell="W27" sqref="W27"/>
    </sheetView>
  </sheetViews>
  <sheetFormatPr baseColWidth="10" defaultRowHeight="16" x14ac:dyDescent="0.2"/>
  <cols>
    <col min="1" max="1" width="28.6640625" bestFit="1" customWidth="1"/>
    <col min="2" max="2" width="20.33203125" customWidth="1"/>
    <col min="3" max="3" width="12.5" customWidth="1"/>
    <col min="4" max="4" width="11.33203125" customWidth="1"/>
    <col min="5" max="5" width="14.6640625" customWidth="1"/>
    <col min="6" max="6" width="11.5" bestFit="1" customWidth="1"/>
    <col min="7" max="7" width="12.1640625" bestFit="1" customWidth="1"/>
    <col min="8" max="8" width="11.5" bestFit="1" customWidth="1"/>
    <col min="9" max="9" width="12.1640625" bestFit="1" customWidth="1"/>
    <col min="10" max="14" width="11.5" bestFit="1" customWidth="1"/>
    <col min="15" max="15" width="12.1640625" bestFit="1" customWidth="1"/>
    <col min="16" max="18" width="11.5" bestFit="1" customWidth="1"/>
    <col min="19" max="19" width="12.1640625" bestFit="1" customWidth="1"/>
    <col min="20" max="20" width="11.5" bestFit="1" customWidth="1"/>
    <col min="21" max="21" width="12.1640625" bestFit="1" customWidth="1"/>
    <col min="22" max="26" width="11.5" bestFit="1" customWidth="1"/>
    <col min="27" max="27" width="12.1640625" bestFit="1" customWidth="1"/>
    <col min="28" max="28" width="11.5" customWidth="1"/>
    <col min="29" max="30" width="11.5" bestFit="1" customWidth="1"/>
    <col min="31" max="31" width="12.1640625" bestFit="1" customWidth="1"/>
    <col min="32" max="32" width="12.5" bestFit="1" customWidth="1"/>
    <col min="33" max="33" width="12.1640625" bestFit="1" customWidth="1"/>
    <col min="34" max="38" width="11.5" bestFit="1" customWidth="1"/>
    <col min="39" max="72" width="12.5" bestFit="1" customWidth="1"/>
    <col min="73" max="123" width="11.5" bestFit="1" customWidth="1"/>
    <col min="124" max="124" width="12.5" bestFit="1" customWidth="1"/>
    <col min="125" max="134" width="11.5" bestFit="1" customWidth="1"/>
    <col min="141" max="144" width="11.1640625" bestFit="1" customWidth="1"/>
    <col min="145" max="164" width="11.5" bestFit="1" customWidth="1"/>
  </cols>
  <sheetData>
    <row r="1" spans="1:164" x14ac:dyDescent="0.2">
      <c r="A1" s="48"/>
      <c r="B1" s="48"/>
      <c r="C1" s="48"/>
      <c r="D1" s="48"/>
      <c r="E1" s="48"/>
      <c r="F1" s="48"/>
      <c r="G1" s="48"/>
      <c r="H1" s="48"/>
      <c r="I1" s="48"/>
      <c r="J1" s="48"/>
      <c r="K1" s="48"/>
      <c r="L1" s="48"/>
    </row>
    <row r="2" spans="1:164" x14ac:dyDescent="0.2">
      <c r="A2" s="45" t="s">
        <v>74</v>
      </c>
      <c r="B2" s="46"/>
      <c r="C2" s="46"/>
      <c r="D2" s="46"/>
      <c r="E2" s="46"/>
      <c r="F2" s="46"/>
      <c r="G2" s="46"/>
      <c r="H2" s="46"/>
      <c r="I2" s="46"/>
      <c r="J2" s="46"/>
      <c r="K2" s="47"/>
      <c r="L2" s="58" t="e">
        <f>IF(#REF!="2 Year",1,0)</f>
        <v>#REF!</v>
      </c>
    </row>
    <row r="3" spans="1:164" x14ac:dyDescent="0.2">
      <c r="A3" s="54"/>
      <c r="B3" s="55"/>
      <c r="C3" s="51"/>
      <c r="D3" s="51"/>
      <c r="E3" s="51"/>
      <c r="F3" s="51"/>
      <c r="G3" s="51"/>
      <c r="H3" s="51"/>
      <c r="I3" s="51"/>
      <c r="J3" s="51"/>
      <c r="K3" s="52"/>
    </row>
    <row r="4" spans="1:164" x14ac:dyDescent="0.2">
      <c r="A4" s="50"/>
      <c r="B4" s="50"/>
      <c r="C4" s="50"/>
      <c r="D4" s="48"/>
      <c r="E4" s="48"/>
      <c r="F4" s="48"/>
      <c r="G4" s="48"/>
      <c r="H4" s="48"/>
      <c r="I4" s="48"/>
      <c r="J4" s="48"/>
      <c r="K4" s="48"/>
      <c r="L4" s="48"/>
    </row>
    <row r="5" spans="1:164" x14ac:dyDescent="0.2">
      <c r="B5" t="s">
        <v>12</v>
      </c>
      <c r="C5" s="1"/>
    </row>
    <row r="6" spans="1:164" x14ac:dyDescent="0.2">
      <c r="A6" s="1" t="s">
        <v>44</v>
      </c>
      <c r="B6" s="1" t="s">
        <v>45</v>
      </c>
      <c r="C6">
        <v>0</v>
      </c>
      <c r="D6">
        <v>1</v>
      </c>
      <c r="E6">
        <v>2</v>
      </c>
      <c r="F6">
        <v>3</v>
      </c>
      <c r="G6">
        <v>4</v>
      </c>
      <c r="H6">
        <v>5</v>
      </c>
      <c r="I6">
        <v>6</v>
      </c>
      <c r="J6">
        <v>7</v>
      </c>
      <c r="K6">
        <v>8</v>
      </c>
      <c r="L6">
        <v>9</v>
      </c>
      <c r="M6">
        <v>10</v>
      </c>
      <c r="N6">
        <v>11</v>
      </c>
      <c r="O6">
        <v>12</v>
      </c>
      <c r="P6">
        <v>13</v>
      </c>
      <c r="Q6">
        <v>14</v>
      </c>
      <c r="R6">
        <v>15</v>
      </c>
      <c r="S6">
        <v>16</v>
      </c>
      <c r="T6">
        <v>17</v>
      </c>
      <c r="U6">
        <v>18</v>
      </c>
      <c r="V6">
        <v>19</v>
      </c>
      <c r="W6">
        <v>20</v>
      </c>
      <c r="X6">
        <v>21</v>
      </c>
      <c r="Y6">
        <v>22</v>
      </c>
      <c r="Z6">
        <v>23</v>
      </c>
      <c r="AA6">
        <v>24</v>
      </c>
      <c r="AB6">
        <v>25</v>
      </c>
      <c r="AC6">
        <v>26</v>
      </c>
      <c r="AD6">
        <v>27</v>
      </c>
      <c r="AE6">
        <v>28</v>
      </c>
      <c r="AF6">
        <v>29</v>
      </c>
      <c r="AG6">
        <v>30</v>
      </c>
      <c r="AH6">
        <v>31</v>
      </c>
      <c r="AI6">
        <v>32</v>
      </c>
      <c r="AJ6">
        <v>33</v>
      </c>
      <c r="AK6">
        <v>34</v>
      </c>
      <c r="AL6">
        <v>35</v>
      </c>
      <c r="AM6">
        <v>36</v>
      </c>
      <c r="AN6">
        <v>37</v>
      </c>
      <c r="AO6">
        <v>38</v>
      </c>
      <c r="AP6">
        <v>39</v>
      </c>
      <c r="AQ6">
        <v>40</v>
      </c>
      <c r="AR6">
        <v>41</v>
      </c>
      <c r="AS6">
        <v>42</v>
      </c>
      <c r="AT6">
        <v>43</v>
      </c>
      <c r="AU6">
        <v>44</v>
      </c>
      <c r="AV6">
        <v>45</v>
      </c>
      <c r="AW6">
        <v>46</v>
      </c>
      <c r="AX6">
        <v>47</v>
      </c>
      <c r="AY6">
        <v>48</v>
      </c>
      <c r="AZ6">
        <v>49</v>
      </c>
      <c r="BA6">
        <v>50</v>
      </c>
      <c r="BB6">
        <v>51</v>
      </c>
      <c r="BC6">
        <v>52</v>
      </c>
      <c r="BD6">
        <v>53</v>
      </c>
      <c r="BE6">
        <v>54</v>
      </c>
      <c r="BF6">
        <v>55</v>
      </c>
      <c r="BG6">
        <v>56</v>
      </c>
      <c r="BH6">
        <v>57</v>
      </c>
      <c r="BI6">
        <v>58</v>
      </c>
      <c r="BJ6">
        <v>59</v>
      </c>
      <c r="BK6">
        <v>60</v>
      </c>
      <c r="BL6">
        <v>61</v>
      </c>
      <c r="BM6">
        <v>62</v>
      </c>
      <c r="BN6">
        <v>63</v>
      </c>
      <c r="BO6">
        <v>64</v>
      </c>
      <c r="BP6">
        <v>65</v>
      </c>
      <c r="BQ6">
        <v>66</v>
      </c>
      <c r="BR6">
        <v>67</v>
      </c>
      <c r="BS6">
        <v>68</v>
      </c>
      <c r="BT6">
        <v>69</v>
      </c>
      <c r="BU6">
        <v>70</v>
      </c>
      <c r="BV6">
        <v>71</v>
      </c>
      <c r="BW6">
        <v>72</v>
      </c>
      <c r="BX6">
        <v>73</v>
      </c>
      <c r="BY6">
        <v>74</v>
      </c>
      <c r="BZ6">
        <v>75</v>
      </c>
      <c r="CA6">
        <v>76</v>
      </c>
      <c r="CB6">
        <v>77</v>
      </c>
      <c r="CC6">
        <v>78</v>
      </c>
      <c r="CD6">
        <v>79</v>
      </c>
      <c r="CE6">
        <v>80</v>
      </c>
      <c r="CF6">
        <v>81</v>
      </c>
      <c r="CG6">
        <v>82</v>
      </c>
      <c r="CH6">
        <v>83</v>
      </c>
      <c r="CI6">
        <v>84</v>
      </c>
      <c r="CJ6">
        <v>85</v>
      </c>
      <c r="CK6">
        <v>86</v>
      </c>
      <c r="CL6">
        <v>87</v>
      </c>
      <c r="CM6">
        <v>88</v>
      </c>
      <c r="CN6">
        <v>89</v>
      </c>
      <c r="CO6">
        <v>90</v>
      </c>
      <c r="CP6">
        <v>91</v>
      </c>
      <c r="CQ6">
        <v>92</v>
      </c>
      <c r="CR6">
        <v>93</v>
      </c>
      <c r="CS6">
        <v>94</v>
      </c>
      <c r="CT6">
        <v>95</v>
      </c>
      <c r="CU6">
        <v>96</v>
      </c>
      <c r="CV6">
        <v>97</v>
      </c>
      <c r="CW6">
        <v>98</v>
      </c>
      <c r="CX6">
        <v>99</v>
      </c>
      <c r="CY6">
        <v>100</v>
      </c>
      <c r="CZ6">
        <v>101</v>
      </c>
      <c r="DA6">
        <v>102</v>
      </c>
      <c r="DB6">
        <v>103</v>
      </c>
      <c r="DC6">
        <v>104</v>
      </c>
      <c r="DD6">
        <v>105</v>
      </c>
      <c r="DE6">
        <v>106</v>
      </c>
      <c r="DF6">
        <v>107</v>
      </c>
      <c r="DG6">
        <v>108</v>
      </c>
      <c r="DH6">
        <v>109</v>
      </c>
      <c r="DI6">
        <v>110</v>
      </c>
      <c r="DJ6">
        <v>111</v>
      </c>
      <c r="DK6">
        <v>112</v>
      </c>
      <c r="DL6">
        <v>113</v>
      </c>
      <c r="DM6">
        <v>114</v>
      </c>
      <c r="DN6">
        <v>115</v>
      </c>
      <c r="DO6">
        <v>116</v>
      </c>
      <c r="DP6">
        <v>117</v>
      </c>
      <c r="DQ6">
        <v>118</v>
      </c>
      <c r="DR6">
        <v>119</v>
      </c>
      <c r="DS6">
        <v>120</v>
      </c>
      <c r="DT6">
        <v>121</v>
      </c>
      <c r="DU6">
        <v>122</v>
      </c>
      <c r="DV6">
        <v>123</v>
      </c>
      <c r="DW6">
        <v>124</v>
      </c>
      <c r="DX6">
        <v>125</v>
      </c>
      <c r="DY6">
        <v>126</v>
      </c>
      <c r="DZ6">
        <v>127</v>
      </c>
      <c r="EA6">
        <v>128</v>
      </c>
      <c r="EB6">
        <v>129</v>
      </c>
      <c r="EC6">
        <v>130</v>
      </c>
      <c r="ED6">
        <v>131</v>
      </c>
      <c r="EE6">
        <v>132</v>
      </c>
      <c r="EF6">
        <v>133</v>
      </c>
      <c r="EG6">
        <v>134</v>
      </c>
      <c r="EH6">
        <v>135</v>
      </c>
      <c r="EI6">
        <v>136</v>
      </c>
      <c r="EJ6">
        <v>137</v>
      </c>
      <c r="EK6">
        <v>138</v>
      </c>
      <c r="EL6">
        <v>139</v>
      </c>
      <c r="EM6">
        <v>140</v>
      </c>
      <c r="EN6">
        <v>141</v>
      </c>
      <c r="EO6">
        <v>142</v>
      </c>
      <c r="EP6">
        <v>143</v>
      </c>
      <c r="EQ6">
        <v>144</v>
      </c>
      <c r="ER6">
        <v>145</v>
      </c>
      <c r="ES6">
        <v>146</v>
      </c>
      <c r="ET6">
        <v>147</v>
      </c>
      <c r="EU6">
        <v>148</v>
      </c>
      <c r="EV6">
        <v>149</v>
      </c>
      <c r="EW6">
        <v>150</v>
      </c>
      <c r="EX6">
        <v>151</v>
      </c>
      <c r="EY6">
        <v>152</v>
      </c>
      <c r="EZ6">
        <v>153</v>
      </c>
      <c r="FA6">
        <v>154</v>
      </c>
      <c r="FB6">
        <v>155</v>
      </c>
      <c r="FC6">
        <v>156</v>
      </c>
      <c r="FD6">
        <v>157</v>
      </c>
      <c r="FE6">
        <v>158</v>
      </c>
      <c r="FF6">
        <v>159</v>
      </c>
      <c r="FG6">
        <v>160</v>
      </c>
      <c r="FH6">
        <v>161</v>
      </c>
    </row>
    <row r="8" spans="1:164" x14ac:dyDescent="0.2">
      <c r="A8" s="1" t="s">
        <v>27</v>
      </c>
    </row>
    <row r="9" spans="1:164" x14ac:dyDescent="0.2">
      <c r="A9" t="s">
        <v>128</v>
      </c>
      <c r="C9" s="25"/>
      <c r="D9" s="11">
        <f t="shared" ref="D9:AA9" si="0">$B$33</f>
        <v>4500</v>
      </c>
      <c r="E9" s="11">
        <f t="shared" si="0"/>
        <v>4500</v>
      </c>
      <c r="F9" s="11">
        <f t="shared" si="0"/>
        <v>4500</v>
      </c>
      <c r="G9" s="11">
        <f t="shared" si="0"/>
        <v>4500</v>
      </c>
      <c r="H9" s="11">
        <f t="shared" si="0"/>
        <v>4500</v>
      </c>
      <c r="I9" s="11">
        <f t="shared" si="0"/>
        <v>4500</v>
      </c>
      <c r="J9" s="11">
        <f t="shared" si="0"/>
        <v>4500</v>
      </c>
      <c r="K9" s="11">
        <f t="shared" si="0"/>
        <v>4500</v>
      </c>
      <c r="L9" s="11">
        <f t="shared" si="0"/>
        <v>4500</v>
      </c>
      <c r="M9" s="11">
        <f t="shared" si="0"/>
        <v>4500</v>
      </c>
      <c r="N9" s="11">
        <f t="shared" si="0"/>
        <v>4500</v>
      </c>
      <c r="O9" s="11">
        <f t="shared" si="0"/>
        <v>4500</v>
      </c>
      <c r="P9" s="11">
        <f t="shared" si="0"/>
        <v>4500</v>
      </c>
      <c r="Q9" s="11">
        <f t="shared" si="0"/>
        <v>4500</v>
      </c>
      <c r="R9" s="11">
        <f t="shared" si="0"/>
        <v>4500</v>
      </c>
      <c r="S9" s="11">
        <f t="shared" si="0"/>
        <v>4500</v>
      </c>
      <c r="T9" s="11">
        <f t="shared" si="0"/>
        <v>4500</v>
      </c>
      <c r="U9" s="11">
        <f t="shared" si="0"/>
        <v>4500</v>
      </c>
      <c r="V9" s="11">
        <f t="shared" si="0"/>
        <v>4500</v>
      </c>
      <c r="W9" s="11">
        <f t="shared" si="0"/>
        <v>4500</v>
      </c>
      <c r="X9" s="11">
        <f t="shared" si="0"/>
        <v>4500</v>
      </c>
      <c r="Y9" s="11">
        <f t="shared" si="0"/>
        <v>4500</v>
      </c>
      <c r="Z9" s="11">
        <f t="shared" si="0"/>
        <v>4500</v>
      </c>
      <c r="AA9" s="11">
        <f t="shared" si="0"/>
        <v>4500</v>
      </c>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row>
    <row r="10" spans="1:164" x14ac:dyDescent="0.2">
      <c r="A10" t="s">
        <v>129</v>
      </c>
      <c r="C10" s="12">
        <f>B35+$B$34</f>
        <v>38000</v>
      </c>
      <c r="D10" s="12"/>
      <c r="E10" s="11"/>
      <c r="F10" s="11"/>
      <c r="G10" s="11"/>
      <c r="H10" s="11"/>
      <c r="I10" s="11"/>
      <c r="J10" s="11"/>
      <c r="K10" s="11"/>
      <c r="L10" s="11"/>
      <c r="M10" s="11"/>
      <c r="N10" s="11"/>
      <c r="O10" s="11">
        <f>$B$34</f>
        <v>18000</v>
      </c>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row>
    <row r="11" spans="1:164" x14ac:dyDescent="0.2">
      <c r="A11" t="s">
        <v>31</v>
      </c>
      <c r="C11" s="25"/>
      <c r="D11" s="11">
        <f>IF(C20&gt;0,C20-C24,0)</f>
        <v>10215</v>
      </c>
      <c r="E11" s="11">
        <f t="shared" ref="E11:BN11" si="1">IF(D20&gt;0,D20-D24,0)</f>
        <v>10215</v>
      </c>
      <c r="F11" s="11">
        <f t="shared" si="1"/>
        <v>10215</v>
      </c>
      <c r="G11" s="11">
        <f t="shared" si="1"/>
        <v>10215</v>
      </c>
      <c r="H11" s="11">
        <f t="shared" si="1"/>
        <v>0</v>
      </c>
      <c r="I11" s="11">
        <f t="shared" si="1"/>
        <v>0</v>
      </c>
      <c r="J11" s="11">
        <f t="shared" si="1"/>
        <v>0</v>
      </c>
      <c r="K11" s="11">
        <f t="shared" si="1"/>
        <v>0</v>
      </c>
      <c r="L11" s="11">
        <f t="shared" si="1"/>
        <v>0</v>
      </c>
      <c r="M11" s="11">
        <f t="shared" si="1"/>
        <v>0</v>
      </c>
      <c r="N11" s="11">
        <f t="shared" si="1"/>
        <v>0</v>
      </c>
      <c r="O11" s="11">
        <f t="shared" si="1"/>
        <v>0</v>
      </c>
      <c r="P11" s="11">
        <f t="shared" si="1"/>
        <v>0</v>
      </c>
      <c r="Q11" s="11">
        <f t="shared" si="1"/>
        <v>0</v>
      </c>
      <c r="R11" s="11">
        <f t="shared" si="1"/>
        <v>0</v>
      </c>
      <c r="S11" s="11">
        <f t="shared" si="1"/>
        <v>0</v>
      </c>
      <c r="T11" s="11">
        <f t="shared" si="1"/>
        <v>0</v>
      </c>
      <c r="U11" s="11">
        <f t="shared" si="1"/>
        <v>0</v>
      </c>
      <c r="V11" s="11">
        <f t="shared" si="1"/>
        <v>0</v>
      </c>
      <c r="W11" s="11">
        <f t="shared" si="1"/>
        <v>0</v>
      </c>
      <c r="X11" s="11">
        <f t="shared" si="1"/>
        <v>0</v>
      </c>
      <c r="Y11" s="11">
        <f t="shared" si="1"/>
        <v>0</v>
      </c>
      <c r="Z11" s="11">
        <f t="shared" si="1"/>
        <v>0</v>
      </c>
      <c r="AA11" s="11">
        <f t="shared" si="1"/>
        <v>0</v>
      </c>
      <c r="AB11" s="11">
        <f t="shared" si="1"/>
        <v>0</v>
      </c>
      <c r="AC11" s="11">
        <f t="shared" si="1"/>
        <v>0</v>
      </c>
      <c r="AD11" s="11">
        <f t="shared" si="1"/>
        <v>0</v>
      </c>
      <c r="AE11" s="11">
        <f t="shared" si="1"/>
        <v>0</v>
      </c>
      <c r="AF11" s="11">
        <f t="shared" si="1"/>
        <v>0</v>
      </c>
      <c r="AG11" s="11">
        <f t="shared" si="1"/>
        <v>0</v>
      </c>
      <c r="AH11" s="11" t="e">
        <f t="shared" si="1"/>
        <v>#REF!</v>
      </c>
      <c r="AI11" s="11" t="e">
        <f t="shared" si="1"/>
        <v>#REF!</v>
      </c>
      <c r="AJ11" s="11" t="e">
        <f t="shared" si="1"/>
        <v>#REF!</v>
      </c>
      <c r="AK11" s="11" t="e">
        <f t="shared" si="1"/>
        <v>#REF!</v>
      </c>
      <c r="AL11" s="11" t="e">
        <f t="shared" si="1"/>
        <v>#REF!</v>
      </c>
      <c r="AM11" s="11" t="e">
        <f t="shared" si="1"/>
        <v>#REF!</v>
      </c>
      <c r="AN11" s="11" t="e">
        <f t="shared" si="1"/>
        <v>#REF!</v>
      </c>
      <c r="AO11" s="11" t="e">
        <f t="shared" si="1"/>
        <v>#REF!</v>
      </c>
      <c r="AP11" s="11" t="e">
        <f t="shared" si="1"/>
        <v>#REF!</v>
      </c>
      <c r="AQ11" s="11" t="e">
        <f t="shared" si="1"/>
        <v>#REF!</v>
      </c>
      <c r="AR11" s="11" t="e">
        <f t="shared" si="1"/>
        <v>#REF!</v>
      </c>
      <c r="AS11" s="11" t="e">
        <f t="shared" si="1"/>
        <v>#REF!</v>
      </c>
      <c r="AT11" s="11" t="e">
        <f t="shared" si="1"/>
        <v>#REF!</v>
      </c>
      <c r="AU11" s="11" t="e">
        <f t="shared" si="1"/>
        <v>#REF!</v>
      </c>
      <c r="AV11" s="11" t="e">
        <f t="shared" si="1"/>
        <v>#REF!</v>
      </c>
      <c r="AW11" s="11" t="e">
        <f t="shared" si="1"/>
        <v>#REF!</v>
      </c>
      <c r="AX11" s="11" t="e">
        <f t="shared" si="1"/>
        <v>#REF!</v>
      </c>
      <c r="AY11" s="11" t="e">
        <f t="shared" si="1"/>
        <v>#REF!</v>
      </c>
      <c r="AZ11" s="11" t="e">
        <f t="shared" si="1"/>
        <v>#REF!</v>
      </c>
      <c r="BA11" s="11" t="e">
        <f t="shared" si="1"/>
        <v>#REF!</v>
      </c>
      <c r="BB11" s="11" t="e">
        <f t="shared" si="1"/>
        <v>#REF!</v>
      </c>
      <c r="BC11" s="11" t="e">
        <f t="shared" si="1"/>
        <v>#REF!</v>
      </c>
      <c r="BD11" s="11" t="e">
        <f t="shared" si="1"/>
        <v>#REF!</v>
      </c>
      <c r="BE11" s="11" t="e">
        <f t="shared" si="1"/>
        <v>#REF!</v>
      </c>
      <c r="BF11" s="11" t="e">
        <f t="shared" si="1"/>
        <v>#REF!</v>
      </c>
      <c r="BG11" s="11" t="e">
        <f t="shared" si="1"/>
        <v>#REF!</v>
      </c>
      <c r="BH11" s="11" t="e">
        <f t="shared" si="1"/>
        <v>#REF!</v>
      </c>
      <c r="BI11" s="11" t="e">
        <f t="shared" si="1"/>
        <v>#REF!</v>
      </c>
      <c r="BJ11" s="11" t="e">
        <f t="shared" si="1"/>
        <v>#REF!</v>
      </c>
      <c r="BK11" s="11" t="e">
        <f t="shared" si="1"/>
        <v>#REF!</v>
      </c>
      <c r="BL11" s="11" t="e">
        <f t="shared" si="1"/>
        <v>#REF!</v>
      </c>
      <c r="BM11" s="11" t="e">
        <f t="shared" si="1"/>
        <v>#REF!</v>
      </c>
      <c r="BN11" s="11" t="e">
        <f t="shared" si="1"/>
        <v>#REF!</v>
      </c>
      <c r="BO11" s="11" t="e">
        <f t="shared" ref="BO11" si="2">IF(BN20&gt;0,BN20-BN24,0)</f>
        <v>#REF!</v>
      </c>
      <c r="BP11" s="11" t="e">
        <f t="shared" ref="BP11" si="3">IF(BO20&gt;0,BO20-BO24,0)</f>
        <v>#REF!</v>
      </c>
      <c r="BQ11" s="11" t="e">
        <f t="shared" ref="BQ11" si="4">IF(BP20&gt;0,BP20-BP24,0)</f>
        <v>#REF!</v>
      </c>
      <c r="BR11" s="11" t="e">
        <f t="shared" ref="BR11" si="5">IF(BQ20&gt;0,BQ20-BQ24,0)</f>
        <v>#REF!</v>
      </c>
      <c r="BS11" s="11" t="e">
        <f t="shared" ref="BS11" si="6">IF(BR20&gt;0,BR20-BR24,0)</f>
        <v>#REF!</v>
      </c>
      <c r="BT11" s="11" t="e">
        <f t="shared" ref="BT11" si="7">IF(BS20&gt;0,BS20-BS24,0)</f>
        <v>#REF!</v>
      </c>
      <c r="BU11" s="11" t="e">
        <f t="shared" ref="BU11" si="8">IF(BT20&gt;0,BT20-BT24,0)</f>
        <v>#REF!</v>
      </c>
      <c r="BV11" s="11" t="e">
        <f t="shared" ref="BV11" si="9">IF(BU20&gt;0,BU20-BU24,0)</f>
        <v>#REF!</v>
      </c>
      <c r="BW11" s="11" t="e">
        <f t="shared" ref="BW11" si="10">IF(BV20&gt;0,BV20-BV24,0)</f>
        <v>#REF!</v>
      </c>
      <c r="BX11" s="11" t="e">
        <f t="shared" ref="BX11" si="11">IF(BW20&gt;0,BW20-BW24,0)</f>
        <v>#REF!</v>
      </c>
      <c r="BY11" s="11" t="e">
        <f t="shared" ref="BY11" si="12">IF(BX20&gt;0,BX20-BX24,0)</f>
        <v>#REF!</v>
      </c>
      <c r="BZ11" s="11" t="e">
        <f t="shared" ref="BZ11" si="13">IF(BY20&gt;0,BY20-BY24,0)</f>
        <v>#REF!</v>
      </c>
      <c r="CA11" s="11" t="e">
        <f t="shared" ref="CA11" si="14">IF(BZ20&gt;0,BZ20-BZ24,0)</f>
        <v>#REF!</v>
      </c>
      <c r="CB11" s="11" t="e">
        <f t="shared" ref="CB11" si="15">IF(CA20&gt;0,CA20-CA24,0)</f>
        <v>#REF!</v>
      </c>
      <c r="CC11" s="11" t="e">
        <f t="shared" ref="CC11" si="16">IF(CB20&gt;0,CB20-CB24,0)</f>
        <v>#REF!</v>
      </c>
      <c r="CD11" s="11" t="e">
        <f t="shared" ref="CD11" si="17">IF(CC20&gt;0,CC20-CC24,0)</f>
        <v>#REF!</v>
      </c>
      <c r="CE11" s="11" t="e">
        <f t="shared" ref="CE11" si="18">IF(CD20&gt;0,CD20-CD24,0)</f>
        <v>#REF!</v>
      </c>
      <c r="CF11" s="11" t="e">
        <f t="shared" ref="CF11" si="19">IF(CE20&gt;0,CE20-CE24,0)</f>
        <v>#REF!</v>
      </c>
      <c r="CG11" s="11" t="e">
        <f t="shared" ref="CG11" si="20">IF(CF20&gt;0,CF20-CF24,0)</f>
        <v>#REF!</v>
      </c>
      <c r="CH11" s="11" t="e">
        <f t="shared" ref="CH11" si="21">IF(CG20&gt;0,CG20-CG24,0)</f>
        <v>#REF!</v>
      </c>
      <c r="CI11" s="11" t="e">
        <f t="shared" ref="CI11" si="22">IF(CH20&gt;0,CH20-CH24,0)</f>
        <v>#REF!</v>
      </c>
      <c r="CJ11" s="11" t="e">
        <f t="shared" ref="CJ11" si="23">IF(CI20&gt;0,CI20-CI24,0)</f>
        <v>#REF!</v>
      </c>
      <c r="CK11" s="11" t="e">
        <f t="shared" ref="CK11" si="24">IF(CJ20&gt;0,CJ20-CJ24,0)</f>
        <v>#REF!</v>
      </c>
      <c r="CL11" s="11" t="e">
        <f t="shared" ref="CL11" si="25">IF(CK20&gt;0,CK20-CK24,0)</f>
        <v>#REF!</v>
      </c>
      <c r="CM11" s="11" t="e">
        <f t="shared" ref="CM11" si="26">IF(CL20&gt;0,CL20-CL24,0)</f>
        <v>#REF!</v>
      </c>
      <c r="CN11" s="11" t="e">
        <f t="shared" ref="CN11" si="27">IF(CM20&gt;0,CM20-CM24,0)</f>
        <v>#REF!</v>
      </c>
      <c r="CO11" s="11" t="e">
        <f t="shared" ref="CO11" si="28">IF(CN20&gt;0,CN20-CN24,0)</f>
        <v>#REF!</v>
      </c>
      <c r="CP11" s="11" t="e">
        <f t="shared" ref="CP11" si="29">IF(CO20&gt;0,CO20-CO24,0)</f>
        <v>#REF!</v>
      </c>
      <c r="CQ11" s="11" t="e">
        <f t="shared" ref="CQ11" si="30">IF(CP20&gt;0,CP20-CP24,0)</f>
        <v>#REF!</v>
      </c>
      <c r="CR11" s="11" t="e">
        <f t="shared" ref="CR11" si="31">IF(CQ20&gt;0,CQ20-CQ24,0)</f>
        <v>#REF!</v>
      </c>
      <c r="CS11" s="11" t="e">
        <f t="shared" ref="CS11" si="32">IF(CR20&gt;0,CR20-CR24,0)</f>
        <v>#REF!</v>
      </c>
      <c r="CT11" s="11" t="e">
        <f t="shared" ref="CT11" si="33">IF(CS20&gt;0,CS20-CS24,0)</f>
        <v>#REF!</v>
      </c>
      <c r="CU11" s="11" t="e">
        <f t="shared" ref="CU11" si="34">IF(CT20&gt;0,CT20-CT24,0)</f>
        <v>#REF!</v>
      </c>
      <c r="CV11" s="11" t="e">
        <f t="shared" ref="CV11" si="35">IF(CU20&gt;0,CU20-CU24,0)</f>
        <v>#REF!</v>
      </c>
      <c r="CW11" s="11" t="e">
        <f t="shared" ref="CW11" si="36">IF(CV20&gt;0,CV20-CV24,0)</f>
        <v>#REF!</v>
      </c>
      <c r="CX11" s="11" t="e">
        <f t="shared" ref="CX11" si="37">IF(CW20&gt;0,CW20-CW24,0)</f>
        <v>#REF!</v>
      </c>
      <c r="CY11" s="11" t="e">
        <f t="shared" ref="CY11" si="38">IF(CX20&gt;0,CX20-CX24,0)</f>
        <v>#REF!</v>
      </c>
      <c r="CZ11" s="11" t="e">
        <f t="shared" ref="CZ11" si="39">IF(CY20&gt;0,CY20-CY24,0)</f>
        <v>#REF!</v>
      </c>
      <c r="DA11" s="11" t="e">
        <f t="shared" ref="DA11" si="40">IF(CZ20&gt;0,CZ20-CZ24,0)</f>
        <v>#REF!</v>
      </c>
      <c r="DB11" s="11" t="e">
        <f t="shared" ref="DB11" si="41">IF(DA20&gt;0,DA20-DA24,0)</f>
        <v>#REF!</v>
      </c>
      <c r="DC11" s="11" t="e">
        <f t="shared" ref="DC11" si="42">IF(DB20&gt;0,DB20-DB24,0)</f>
        <v>#REF!</v>
      </c>
      <c r="DD11" s="11" t="e">
        <f t="shared" ref="DD11" si="43">IF(DC20&gt;0,DC20-DC24,0)</f>
        <v>#REF!</v>
      </c>
      <c r="DE11" s="11" t="e">
        <f t="shared" ref="DE11" si="44">IF(DD20&gt;0,DD20-DD24,0)</f>
        <v>#REF!</v>
      </c>
      <c r="DF11" s="11" t="e">
        <f t="shared" ref="DF11" si="45">IF(DE20&gt;0,DE20-DE24,0)</f>
        <v>#REF!</v>
      </c>
      <c r="DG11" s="11" t="e">
        <f t="shared" ref="DG11" si="46">IF(DF20&gt;0,DF20-DF24,0)</f>
        <v>#REF!</v>
      </c>
      <c r="DH11" s="11" t="e">
        <f t="shared" ref="DH11" si="47">IF(DG20&gt;0,DG20-DG24,0)</f>
        <v>#REF!</v>
      </c>
      <c r="DI11" s="11" t="e">
        <f t="shared" ref="DI11" si="48">IF(DH20&gt;0,DH20-DH24,0)</f>
        <v>#REF!</v>
      </c>
      <c r="DJ11" s="11" t="e">
        <f t="shared" ref="DJ11" si="49">IF(DI20&gt;0,DI20-DI24,0)</f>
        <v>#REF!</v>
      </c>
      <c r="DK11" s="11" t="e">
        <f t="shared" ref="DK11" si="50">IF(DJ20&gt;0,DJ20-DJ24,0)</f>
        <v>#REF!</v>
      </c>
      <c r="DL11" s="11" t="e">
        <f t="shared" ref="DL11" si="51">IF(DK20&gt;0,DK20-DK24,0)</f>
        <v>#REF!</v>
      </c>
      <c r="DM11" s="11" t="e">
        <f t="shared" ref="DM11" si="52">IF(DL20&gt;0,DL20-DL24,0)</f>
        <v>#REF!</v>
      </c>
      <c r="DN11" s="11" t="e">
        <f t="shared" ref="DN11" si="53">IF(DM20&gt;0,DM20-DM24,0)</f>
        <v>#REF!</v>
      </c>
      <c r="DO11" s="11" t="e">
        <f t="shared" ref="DO11" si="54">IF(DN20&gt;0,DN20-DN24,0)</f>
        <v>#REF!</v>
      </c>
      <c r="DP11" s="11" t="e">
        <f t="shared" ref="DP11" si="55">IF(DO20&gt;0,DO20-DO24,0)</f>
        <v>#REF!</v>
      </c>
      <c r="DQ11" s="11" t="e">
        <f t="shared" ref="DQ11" si="56">IF(DP20&gt;0,DP20-DP24,0)</f>
        <v>#REF!</v>
      </c>
      <c r="DR11" s="11" t="e">
        <f t="shared" ref="DR11" si="57">IF(DQ20&gt;0,DQ20-DQ24,0)</f>
        <v>#REF!</v>
      </c>
      <c r="DS11" s="11" t="e">
        <f t="shared" ref="DS11" si="58">IF(DR20&gt;0,DR20-DR24,0)</f>
        <v>#REF!</v>
      </c>
      <c r="DT11" s="11" t="e">
        <f t="shared" ref="DT11" si="59">IF(DS20&gt;0,DS20-DS24,0)</f>
        <v>#REF!</v>
      </c>
      <c r="DU11" s="11" t="e">
        <f t="shared" ref="DU11" si="60">IF(DT20&gt;0,DT20-DT24,0)</f>
        <v>#REF!</v>
      </c>
      <c r="DV11" s="11" t="e">
        <f t="shared" ref="DV11" si="61">IF(DU20&gt;0,DU20-DU24,0)</f>
        <v>#REF!</v>
      </c>
      <c r="DW11" s="11" t="e">
        <f t="shared" ref="DW11" si="62">IF(DV20&gt;0,DV20-DV24,0)</f>
        <v>#REF!</v>
      </c>
      <c r="DX11" s="11" t="e">
        <f t="shared" ref="DX11" si="63">IF(DW20&gt;0,DW20-DW24,0)</f>
        <v>#REF!</v>
      </c>
      <c r="DY11" s="11" t="e">
        <f t="shared" ref="DY11" si="64">IF(DX20&gt;0,DX20-DX24,0)</f>
        <v>#REF!</v>
      </c>
      <c r="DZ11" s="11" t="e">
        <f t="shared" ref="DZ11" si="65">IF(DY20&gt;0,DY20-DY24,0)</f>
        <v>#REF!</v>
      </c>
      <c r="EA11" s="11" t="e">
        <f t="shared" ref="EA11" si="66">IF(DZ20&gt;0,DZ20-DZ24,0)</f>
        <v>#REF!</v>
      </c>
      <c r="EB11" s="11" t="e">
        <f t="shared" ref="EB11" si="67">IF(EA20&gt;0,EA20-EA24,0)</f>
        <v>#REF!</v>
      </c>
      <c r="EC11" s="11" t="e">
        <f t="shared" ref="EC11" si="68">IF(EB20&gt;0,EB20-EB24,0)</f>
        <v>#REF!</v>
      </c>
      <c r="ED11" s="11" t="e">
        <f t="shared" ref="ED11" si="69">IF(EC20&gt;0,EC20-EC24,0)</f>
        <v>#REF!</v>
      </c>
      <c r="EE11" s="11" t="e">
        <f t="shared" ref="EE11" si="70">IF(ED20&gt;0,ED20-ED24,0)</f>
        <v>#REF!</v>
      </c>
      <c r="EF11" s="11" t="e">
        <f t="shared" ref="EF11" si="71">IF(EE20&gt;0,EE20-EE24,0)</f>
        <v>#REF!</v>
      </c>
      <c r="EG11" s="11" t="e">
        <f t="shared" ref="EG11" si="72">IF(EF20&gt;0,EF20-EF24,0)</f>
        <v>#REF!</v>
      </c>
      <c r="EH11" s="11" t="e">
        <f t="shared" ref="EH11" si="73">IF(EG20&gt;0,EG20-EG24,0)</f>
        <v>#REF!</v>
      </c>
      <c r="EI11" s="11" t="e">
        <f t="shared" ref="EI11" si="74">IF(EH20&gt;0,EH20-EH24,0)</f>
        <v>#REF!</v>
      </c>
      <c r="EJ11" s="11" t="e">
        <f t="shared" ref="EJ11" si="75">IF(EI20&gt;0,EI20-EI24,0)</f>
        <v>#REF!</v>
      </c>
      <c r="EK11" s="11" t="e">
        <f t="shared" ref="EK11" si="76">IF(EJ20&gt;0,EJ20-EJ24,0)</f>
        <v>#REF!</v>
      </c>
      <c r="EL11" s="11" t="e">
        <f t="shared" ref="EL11" si="77">IF(EK20&gt;0,EK20-EK24,0)</f>
        <v>#REF!</v>
      </c>
      <c r="EM11" s="11" t="e">
        <f t="shared" ref="EM11" si="78">IF(EL20&gt;0,EL20-EL24,0)</f>
        <v>#REF!</v>
      </c>
      <c r="EN11" s="11" t="e">
        <f t="shared" ref="EN11" si="79">IF(EM20&gt;0,EM20-EM24,0)</f>
        <v>#REF!</v>
      </c>
      <c r="EO11" s="11" t="e">
        <f t="shared" ref="EO11" si="80">IF(EN20&gt;0,EN20-EN24,0)</f>
        <v>#REF!</v>
      </c>
      <c r="EP11" s="11" t="e">
        <f t="shared" ref="EP11" si="81">IF(EO20&gt;0,EO20-EO24,0)</f>
        <v>#REF!</v>
      </c>
      <c r="EQ11" s="11" t="e">
        <f t="shared" ref="EQ11" si="82">IF(EP20&gt;0,EP20-EP24,0)</f>
        <v>#REF!</v>
      </c>
      <c r="ER11" s="11" t="e">
        <f t="shared" ref="ER11" si="83">IF(EQ20&gt;0,EQ20-EQ24,0)</f>
        <v>#REF!</v>
      </c>
      <c r="ES11" s="11" t="e">
        <f t="shared" ref="ES11" si="84">IF(ER20&gt;0,ER20-ER24,0)</f>
        <v>#REF!</v>
      </c>
      <c r="ET11" s="11" t="e">
        <f t="shared" ref="ET11" si="85">IF(ES20&gt;0,ES20-ES24,0)</f>
        <v>#REF!</v>
      </c>
      <c r="EU11" s="11" t="e">
        <f t="shared" ref="EU11" si="86">IF(ET20&gt;0,ET20-ET24,0)</f>
        <v>#REF!</v>
      </c>
      <c r="EV11" s="11" t="e">
        <f t="shared" ref="EV11" si="87">IF(EU20&gt;0,EU20-EU24,0)</f>
        <v>#REF!</v>
      </c>
      <c r="EW11" s="11" t="e">
        <f t="shared" ref="EW11" si="88">IF(EV20&gt;0,EV20-EV24,0)</f>
        <v>#REF!</v>
      </c>
      <c r="EX11" s="11" t="e">
        <f t="shared" ref="EX11" si="89">IF(EW20&gt;0,EW20-EW24,0)</f>
        <v>#REF!</v>
      </c>
      <c r="EY11" s="11" t="e">
        <f t="shared" ref="EY11" si="90">IF(EX20&gt;0,EX20-EX24,0)</f>
        <v>#REF!</v>
      </c>
      <c r="EZ11" s="11" t="e">
        <f t="shared" ref="EZ11" si="91">IF(EY20&gt;0,EY20-EY24,0)</f>
        <v>#REF!</v>
      </c>
      <c r="FA11" s="11" t="e">
        <f t="shared" ref="FA11" si="92">IF(EZ20&gt;0,EZ20-EZ24,0)</f>
        <v>#REF!</v>
      </c>
      <c r="FB11" s="11" t="e">
        <f t="shared" ref="FB11" si="93">IF(FA20&gt;0,FA20-FA24,0)</f>
        <v>#REF!</v>
      </c>
      <c r="FC11" s="11" t="e">
        <f t="shared" ref="FC11" si="94">IF(FB20&gt;0,FB20-FB24,0)</f>
        <v>#REF!</v>
      </c>
      <c r="FD11" s="11" t="e">
        <f t="shared" ref="FD11" si="95">IF(FC20&gt;0,FC20-FC24,0)</f>
        <v>#REF!</v>
      </c>
      <c r="FE11" s="11" t="e">
        <f t="shared" ref="FE11" si="96">IF(FD20&gt;0,FD20-FD24,0)</f>
        <v>#REF!</v>
      </c>
      <c r="FF11" s="11" t="e">
        <f t="shared" ref="FF11" si="97">IF(FE20&gt;0,FE20-FE24,0)</f>
        <v>#REF!</v>
      </c>
      <c r="FG11" s="11" t="e">
        <f t="shared" ref="FG11" si="98">IF(FF20&gt;0,FF20-FF24,0)</f>
        <v>#REF!</v>
      </c>
      <c r="FH11" s="11" t="e">
        <f t="shared" ref="FH11" si="99">IF(FG20&gt;0,FG20-FG24,0)</f>
        <v>#REF!</v>
      </c>
    </row>
    <row r="12" spans="1:164" x14ac:dyDescent="0.2">
      <c r="A12" t="s">
        <v>37</v>
      </c>
      <c r="C12" s="25"/>
      <c r="D12" s="11"/>
      <c r="E12" s="11"/>
      <c r="F12" s="11"/>
      <c r="G12" s="11"/>
      <c r="H12" s="11"/>
      <c r="I12" s="11"/>
      <c r="J12" s="11"/>
      <c r="K12" s="11"/>
      <c r="L12" s="11"/>
      <c r="M12" s="11"/>
      <c r="N12" s="11"/>
      <c r="O12" s="11"/>
      <c r="P12" s="11"/>
      <c r="Q12" s="11"/>
      <c r="R12" s="11"/>
      <c r="S12" s="11"/>
      <c r="T12" s="11"/>
      <c r="U12" s="11"/>
      <c r="V12" s="11"/>
      <c r="W12" s="11"/>
      <c r="X12" s="11"/>
      <c r="Y12" s="11"/>
      <c r="Z12" s="11"/>
      <c r="AA12" s="11"/>
      <c r="AB12" s="11">
        <f t="shared" ref="AB12:BG12" si="100">(VLOOKUP(ROUNDUP(((AB6/12)-2),0),$D$30:$E$36,2))/12</f>
        <v>6250</v>
      </c>
      <c r="AC12" s="11">
        <f t="shared" si="100"/>
        <v>6250</v>
      </c>
      <c r="AD12" s="11">
        <f t="shared" si="100"/>
        <v>6250</v>
      </c>
      <c r="AE12" s="11">
        <f t="shared" si="100"/>
        <v>6250</v>
      </c>
      <c r="AF12" s="11">
        <f t="shared" si="100"/>
        <v>6250</v>
      </c>
      <c r="AG12" s="11">
        <f t="shared" si="100"/>
        <v>6250</v>
      </c>
      <c r="AH12" s="11">
        <f t="shared" si="100"/>
        <v>6250</v>
      </c>
      <c r="AI12" s="11">
        <f t="shared" si="100"/>
        <v>6250</v>
      </c>
      <c r="AJ12" s="11">
        <f t="shared" si="100"/>
        <v>6250</v>
      </c>
      <c r="AK12" s="11">
        <f t="shared" si="100"/>
        <v>6250</v>
      </c>
      <c r="AL12" s="11">
        <f t="shared" si="100"/>
        <v>6250</v>
      </c>
      <c r="AM12" s="11">
        <f t="shared" si="100"/>
        <v>6250</v>
      </c>
      <c r="AN12" s="11">
        <f t="shared" si="100"/>
        <v>6500</v>
      </c>
      <c r="AO12" s="11">
        <f t="shared" si="100"/>
        <v>6500</v>
      </c>
      <c r="AP12" s="11">
        <f t="shared" si="100"/>
        <v>6500</v>
      </c>
      <c r="AQ12" s="11">
        <f t="shared" si="100"/>
        <v>6500</v>
      </c>
      <c r="AR12" s="11">
        <f t="shared" si="100"/>
        <v>6500</v>
      </c>
      <c r="AS12" s="11">
        <f t="shared" si="100"/>
        <v>6500</v>
      </c>
      <c r="AT12" s="11">
        <f t="shared" si="100"/>
        <v>6500</v>
      </c>
      <c r="AU12" s="11">
        <f t="shared" si="100"/>
        <v>6500</v>
      </c>
      <c r="AV12" s="11">
        <f t="shared" si="100"/>
        <v>6500</v>
      </c>
      <c r="AW12" s="11">
        <f t="shared" si="100"/>
        <v>6500</v>
      </c>
      <c r="AX12" s="11">
        <f t="shared" si="100"/>
        <v>6500</v>
      </c>
      <c r="AY12" s="11">
        <f t="shared" si="100"/>
        <v>6500</v>
      </c>
      <c r="AZ12" s="11">
        <f t="shared" si="100"/>
        <v>6760</v>
      </c>
      <c r="BA12" s="11">
        <f t="shared" si="100"/>
        <v>6760</v>
      </c>
      <c r="BB12" s="11">
        <f t="shared" si="100"/>
        <v>6760</v>
      </c>
      <c r="BC12" s="11">
        <f t="shared" si="100"/>
        <v>6760</v>
      </c>
      <c r="BD12" s="11">
        <f t="shared" si="100"/>
        <v>6760</v>
      </c>
      <c r="BE12" s="11">
        <f t="shared" si="100"/>
        <v>6760</v>
      </c>
      <c r="BF12" s="11">
        <f t="shared" si="100"/>
        <v>6760</v>
      </c>
      <c r="BG12" s="11">
        <f t="shared" si="100"/>
        <v>6760</v>
      </c>
      <c r="BH12" s="11">
        <f t="shared" ref="BH12:CM12" si="101">(VLOOKUP(ROUNDUP(((BH6/12)-2),0),$D$30:$E$36,2))/12</f>
        <v>6760</v>
      </c>
      <c r="BI12" s="11">
        <f t="shared" si="101"/>
        <v>6760</v>
      </c>
      <c r="BJ12" s="11">
        <f t="shared" si="101"/>
        <v>6760</v>
      </c>
      <c r="BK12" s="11">
        <f t="shared" si="101"/>
        <v>6760</v>
      </c>
      <c r="BL12" s="11">
        <f t="shared" si="101"/>
        <v>7030.4000000000005</v>
      </c>
      <c r="BM12" s="11">
        <f t="shared" si="101"/>
        <v>7030.4000000000005</v>
      </c>
      <c r="BN12" s="11">
        <f t="shared" si="101"/>
        <v>7030.4000000000005</v>
      </c>
      <c r="BO12" s="11">
        <f t="shared" si="101"/>
        <v>7030.4000000000005</v>
      </c>
      <c r="BP12" s="11">
        <f t="shared" si="101"/>
        <v>7030.4000000000005</v>
      </c>
      <c r="BQ12" s="11">
        <f t="shared" si="101"/>
        <v>7030.4000000000005</v>
      </c>
      <c r="BR12" s="11">
        <f t="shared" si="101"/>
        <v>7030.4000000000005</v>
      </c>
      <c r="BS12" s="11">
        <f t="shared" si="101"/>
        <v>7030.4000000000005</v>
      </c>
      <c r="BT12" s="11">
        <f t="shared" si="101"/>
        <v>7030.4000000000005</v>
      </c>
      <c r="BU12" s="11">
        <f t="shared" si="101"/>
        <v>7030.4000000000005</v>
      </c>
      <c r="BV12" s="11">
        <f t="shared" si="101"/>
        <v>7030.4000000000005</v>
      </c>
      <c r="BW12" s="11">
        <f t="shared" si="101"/>
        <v>7030.4000000000005</v>
      </c>
      <c r="BX12" s="11">
        <f t="shared" si="101"/>
        <v>7311.6160000000009</v>
      </c>
      <c r="BY12" s="11">
        <f t="shared" si="101"/>
        <v>7311.6160000000009</v>
      </c>
      <c r="BZ12" s="11">
        <f t="shared" si="101"/>
        <v>7311.6160000000009</v>
      </c>
      <c r="CA12" s="11">
        <f t="shared" si="101"/>
        <v>7311.6160000000009</v>
      </c>
      <c r="CB12" s="11">
        <f t="shared" si="101"/>
        <v>7311.6160000000009</v>
      </c>
      <c r="CC12" s="11">
        <f t="shared" si="101"/>
        <v>7311.6160000000009</v>
      </c>
      <c r="CD12" s="11">
        <f t="shared" si="101"/>
        <v>7311.6160000000009</v>
      </c>
      <c r="CE12" s="11">
        <f t="shared" si="101"/>
        <v>7311.6160000000009</v>
      </c>
      <c r="CF12" s="11">
        <f t="shared" si="101"/>
        <v>7311.6160000000009</v>
      </c>
      <c r="CG12" s="11">
        <f t="shared" si="101"/>
        <v>7311.6160000000009</v>
      </c>
      <c r="CH12" s="11">
        <f t="shared" si="101"/>
        <v>7311.6160000000009</v>
      </c>
      <c r="CI12" s="11">
        <f t="shared" si="101"/>
        <v>7311.6160000000009</v>
      </c>
      <c r="CJ12" s="11">
        <f t="shared" si="101"/>
        <v>7604.080640000001</v>
      </c>
      <c r="CK12" s="11">
        <f t="shared" si="101"/>
        <v>7604.080640000001</v>
      </c>
      <c r="CL12" s="11">
        <f t="shared" si="101"/>
        <v>7604.080640000001</v>
      </c>
      <c r="CM12" s="11">
        <f t="shared" si="101"/>
        <v>7604.080640000001</v>
      </c>
      <c r="CN12" s="11">
        <f t="shared" ref="CN12:DS12" si="102">(VLOOKUP(ROUNDUP(((CN6/12)-2),0),$D$30:$E$36,2))/12</f>
        <v>7604.080640000001</v>
      </c>
      <c r="CO12" s="11">
        <f t="shared" si="102"/>
        <v>7604.080640000001</v>
      </c>
      <c r="CP12" s="11">
        <f t="shared" si="102"/>
        <v>7604.080640000001</v>
      </c>
      <c r="CQ12" s="11">
        <f t="shared" si="102"/>
        <v>7604.080640000001</v>
      </c>
      <c r="CR12" s="11">
        <f t="shared" si="102"/>
        <v>7604.080640000001</v>
      </c>
      <c r="CS12" s="11">
        <f t="shared" si="102"/>
        <v>7604.080640000001</v>
      </c>
      <c r="CT12" s="11">
        <f t="shared" si="102"/>
        <v>7604.080640000001</v>
      </c>
      <c r="CU12" s="11">
        <f t="shared" si="102"/>
        <v>7604.080640000001</v>
      </c>
      <c r="CV12" s="11">
        <f t="shared" si="102"/>
        <v>7908.2438656000013</v>
      </c>
      <c r="CW12" s="11">
        <f t="shared" si="102"/>
        <v>7908.2438656000013</v>
      </c>
      <c r="CX12" s="11">
        <f t="shared" si="102"/>
        <v>7908.2438656000013</v>
      </c>
      <c r="CY12" s="11">
        <f t="shared" si="102"/>
        <v>7908.2438656000013</v>
      </c>
      <c r="CZ12" s="11">
        <f t="shared" si="102"/>
        <v>7908.2438656000013</v>
      </c>
      <c r="DA12" s="11">
        <f t="shared" si="102"/>
        <v>7908.2438656000013</v>
      </c>
      <c r="DB12" s="11">
        <f t="shared" si="102"/>
        <v>7908.2438656000013</v>
      </c>
      <c r="DC12" s="11">
        <f t="shared" si="102"/>
        <v>7908.2438656000013</v>
      </c>
      <c r="DD12" s="11">
        <f t="shared" si="102"/>
        <v>7908.2438656000013</v>
      </c>
      <c r="DE12" s="11">
        <f t="shared" si="102"/>
        <v>7908.2438656000013</v>
      </c>
      <c r="DF12" s="11">
        <f t="shared" si="102"/>
        <v>7908.2438656000013</v>
      </c>
      <c r="DG12" s="11">
        <f t="shared" si="102"/>
        <v>7908.2438656000013</v>
      </c>
      <c r="DH12" s="11">
        <f t="shared" si="102"/>
        <v>7908.2438656000013</v>
      </c>
      <c r="DI12" s="11">
        <f t="shared" si="102"/>
        <v>7908.2438656000013</v>
      </c>
      <c r="DJ12" s="11">
        <f t="shared" si="102"/>
        <v>7908.2438656000013</v>
      </c>
      <c r="DK12" s="11">
        <f t="shared" si="102"/>
        <v>7908.2438656000013</v>
      </c>
      <c r="DL12" s="11">
        <f t="shared" si="102"/>
        <v>7908.2438656000013</v>
      </c>
      <c r="DM12" s="11">
        <f t="shared" si="102"/>
        <v>7908.2438656000013</v>
      </c>
      <c r="DN12" s="11">
        <f t="shared" si="102"/>
        <v>7908.2438656000013</v>
      </c>
      <c r="DO12" s="11">
        <f t="shared" si="102"/>
        <v>7908.2438656000013</v>
      </c>
      <c r="DP12" s="11">
        <f t="shared" si="102"/>
        <v>7908.2438656000013</v>
      </c>
      <c r="DQ12" s="11">
        <f t="shared" si="102"/>
        <v>7908.2438656000013</v>
      </c>
      <c r="DR12" s="11">
        <f t="shared" si="102"/>
        <v>7908.2438656000013</v>
      </c>
      <c r="DS12" s="11">
        <f t="shared" si="102"/>
        <v>7908.2438656000013</v>
      </c>
      <c r="DT12" s="11">
        <f t="shared" ref="DT12:EY12" si="103">(VLOOKUP(ROUNDUP(((DT6/12)-2),0),$D$30:$E$36,2))/12</f>
        <v>7908.2438656000013</v>
      </c>
      <c r="DU12" s="11">
        <f t="shared" si="103"/>
        <v>7908.2438656000013</v>
      </c>
      <c r="DV12" s="11">
        <f t="shared" si="103"/>
        <v>7908.2438656000013</v>
      </c>
      <c r="DW12" s="11">
        <f t="shared" si="103"/>
        <v>7908.2438656000013</v>
      </c>
      <c r="DX12" s="11">
        <f t="shared" si="103"/>
        <v>7908.2438656000013</v>
      </c>
      <c r="DY12" s="11">
        <f t="shared" si="103"/>
        <v>7908.2438656000013</v>
      </c>
      <c r="DZ12" s="11">
        <f t="shared" si="103"/>
        <v>7908.2438656000013</v>
      </c>
      <c r="EA12" s="11">
        <f t="shared" si="103"/>
        <v>7908.2438656000013</v>
      </c>
      <c r="EB12" s="11">
        <f t="shared" si="103"/>
        <v>7908.2438656000013</v>
      </c>
      <c r="EC12" s="11">
        <f t="shared" si="103"/>
        <v>7908.2438656000013</v>
      </c>
      <c r="ED12" s="11">
        <f t="shared" si="103"/>
        <v>7908.2438656000013</v>
      </c>
      <c r="EE12" s="11">
        <f t="shared" si="103"/>
        <v>7908.2438656000013</v>
      </c>
      <c r="EF12" s="11">
        <f t="shared" si="103"/>
        <v>7908.2438656000013</v>
      </c>
      <c r="EG12" s="11">
        <f t="shared" si="103"/>
        <v>7908.2438656000013</v>
      </c>
      <c r="EH12" s="11">
        <f t="shared" si="103"/>
        <v>7908.2438656000013</v>
      </c>
      <c r="EI12" s="11">
        <f t="shared" si="103"/>
        <v>7908.2438656000013</v>
      </c>
      <c r="EJ12" s="11">
        <f t="shared" si="103"/>
        <v>7908.2438656000013</v>
      </c>
      <c r="EK12" s="11">
        <f t="shared" si="103"/>
        <v>7908.2438656000013</v>
      </c>
      <c r="EL12" s="11">
        <f t="shared" si="103"/>
        <v>7908.2438656000013</v>
      </c>
      <c r="EM12" s="11">
        <f t="shared" si="103"/>
        <v>7908.2438656000013</v>
      </c>
      <c r="EN12" s="11">
        <f t="shared" si="103"/>
        <v>7908.2438656000013</v>
      </c>
      <c r="EO12" s="11">
        <f t="shared" si="103"/>
        <v>7908.2438656000013</v>
      </c>
      <c r="EP12" s="11">
        <f t="shared" si="103"/>
        <v>7908.2438656000013</v>
      </c>
      <c r="EQ12" s="11">
        <f t="shared" si="103"/>
        <v>7908.2438656000013</v>
      </c>
      <c r="ER12" s="11">
        <f t="shared" si="103"/>
        <v>7908.2438656000013</v>
      </c>
      <c r="ES12" s="11">
        <f t="shared" si="103"/>
        <v>7908.2438656000013</v>
      </c>
      <c r="ET12" s="11">
        <f t="shared" si="103"/>
        <v>7908.2438656000013</v>
      </c>
      <c r="EU12" s="11">
        <f t="shared" si="103"/>
        <v>7908.2438656000013</v>
      </c>
      <c r="EV12" s="11">
        <f t="shared" si="103"/>
        <v>7908.2438656000013</v>
      </c>
      <c r="EW12" s="11">
        <f t="shared" si="103"/>
        <v>7908.2438656000013</v>
      </c>
      <c r="EX12" s="11">
        <f t="shared" si="103"/>
        <v>7908.2438656000013</v>
      </c>
      <c r="EY12" s="11">
        <f t="shared" si="103"/>
        <v>7908.2438656000013</v>
      </c>
      <c r="EZ12" s="11">
        <f t="shared" ref="EZ12:FH12" si="104">(VLOOKUP(ROUNDUP(((EZ6/12)-2),0),$D$30:$E$36,2))/12</f>
        <v>7908.2438656000013</v>
      </c>
      <c r="FA12" s="11">
        <f t="shared" si="104"/>
        <v>7908.2438656000013</v>
      </c>
      <c r="FB12" s="11">
        <f t="shared" si="104"/>
        <v>7908.2438656000013</v>
      </c>
      <c r="FC12" s="11">
        <f t="shared" si="104"/>
        <v>7908.2438656000013</v>
      </c>
      <c r="FD12" s="11">
        <f t="shared" si="104"/>
        <v>7908.2438656000013</v>
      </c>
      <c r="FE12" s="11">
        <f t="shared" si="104"/>
        <v>7908.2438656000013</v>
      </c>
      <c r="FF12" s="11">
        <f t="shared" si="104"/>
        <v>7908.2438656000013</v>
      </c>
      <c r="FG12" s="11">
        <f t="shared" si="104"/>
        <v>7908.2438656000013</v>
      </c>
      <c r="FH12" s="11">
        <f t="shared" si="104"/>
        <v>7908.2438656000013</v>
      </c>
    </row>
    <row r="13" spans="1:164" s="1" customFormat="1" x14ac:dyDescent="0.2">
      <c r="A13" s="1" t="s">
        <v>21</v>
      </c>
      <c r="C13" s="26">
        <f t="shared" ref="C13:AH13" si="105">SUM(C9:C12)</f>
        <v>38000</v>
      </c>
      <c r="D13" s="26">
        <f t="shared" si="105"/>
        <v>14715</v>
      </c>
      <c r="E13" s="26">
        <f t="shared" si="105"/>
        <v>14715</v>
      </c>
      <c r="F13" s="26">
        <f t="shared" si="105"/>
        <v>14715</v>
      </c>
      <c r="G13" s="26">
        <f t="shared" si="105"/>
        <v>14715</v>
      </c>
      <c r="H13" s="26">
        <f t="shared" si="105"/>
        <v>4500</v>
      </c>
      <c r="I13" s="26">
        <f t="shared" si="105"/>
        <v>4500</v>
      </c>
      <c r="J13" s="26">
        <f t="shared" si="105"/>
        <v>4500</v>
      </c>
      <c r="K13" s="26">
        <f t="shared" si="105"/>
        <v>4500</v>
      </c>
      <c r="L13" s="26">
        <f t="shared" si="105"/>
        <v>4500</v>
      </c>
      <c r="M13" s="26">
        <f t="shared" si="105"/>
        <v>4500</v>
      </c>
      <c r="N13" s="26">
        <f t="shared" si="105"/>
        <v>4500</v>
      </c>
      <c r="O13" s="26">
        <f t="shared" si="105"/>
        <v>22500</v>
      </c>
      <c r="P13" s="26">
        <f t="shared" si="105"/>
        <v>4500</v>
      </c>
      <c r="Q13" s="26">
        <f t="shared" si="105"/>
        <v>4500</v>
      </c>
      <c r="R13" s="26">
        <f t="shared" si="105"/>
        <v>4500</v>
      </c>
      <c r="S13" s="26">
        <f t="shared" si="105"/>
        <v>4500</v>
      </c>
      <c r="T13" s="26">
        <f t="shared" si="105"/>
        <v>4500</v>
      </c>
      <c r="U13" s="26">
        <f t="shared" si="105"/>
        <v>4500</v>
      </c>
      <c r="V13" s="26">
        <f t="shared" si="105"/>
        <v>4500</v>
      </c>
      <c r="W13" s="26">
        <f t="shared" si="105"/>
        <v>4500</v>
      </c>
      <c r="X13" s="26">
        <f t="shared" si="105"/>
        <v>4500</v>
      </c>
      <c r="Y13" s="26">
        <f t="shared" si="105"/>
        <v>4500</v>
      </c>
      <c r="Z13" s="26">
        <f t="shared" si="105"/>
        <v>4500</v>
      </c>
      <c r="AA13" s="26">
        <f t="shared" si="105"/>
        <v>4500</v>
      </c>
      <c r="AB13" s="26">
        <f t="shared" si="105"/>
        <v>6250</v>
      </c>
      <c r="AC13" s="26">
        <f t="shared" si="105"/>
        <v>6250</v>
      </c>
      <c r="AD13" s="26">
        <f t="shared" si="105"/>
        <v>6250</v>
      </c>
      <c r="AE13" s="26">
        <f t="shared" si="105"/>
        <v>6250</v>
      </c>
      <c r="AF13" s="26">
        <f t="shared" si="105"/>
        <v>6250</v>
      </c>
      <c r="AG13" s="26">
        <f t="shared" si="105"/>
        <v>6250</v>
      </c>
      <c r="AH13" s="26" t="e">
        <f t="shared" si="105"/>
        <v>#REF!</v>
      </c>
      <c r="AI13" s="26" t="e">
        <f t="shared" ref="AI13:BN13" si="106">SUM(AI9:AI12)</f>
        <v>#REF!</v>
      </c>
      <c r="AJ13" s="26" t="e">
        <f t="shared" si="106"/>
        <v>#REF!</v>
      </c>
      <c r="AK13" s="26" t="e">
        <f t="shared" si="106"/>
        <v>#REF!</v>
      </c>
      <c r="AL13" s="26" t="e">
        <f t="shared" si="106"/>
        <v>#REF!</v>
      </c>
      <c r="AM13" s="26" t="e">
        <f t="shared" si="106"/>
        <v>#REF!</v>
      </c>
      <c r="AN13" s="26" t="e">
        <f t="shared" si="106"/>
        <v>#REF!</v>
      </c>
      <c r="AO13" s="26" t="e">
        <f t="shared" si="106"/>
        <v>#REF!</v>
      </c>
      <c r="AP13" s="26" t="e">
        <f t="shared" si="106"/>
        <v>#REF!</v>
      </c>
      <c r="AQ13" s="26" t="e">
        <f t="shared" si="106"/>
        <v>#REF!</v>
      </c>
      <c r="AR13" s="26" t="e">
        <f t="shared" si="106"/>
        <v>#REF!</v>
      </c>
      <c r="AS13" s="26" t="e">
        <f t="shared" si="106"/>
        <v>#REF!</v>
      </c>
      <c r="AT13" s="26" t="e">
        <f t="shared" si="106"/>
        <v>#REF!</v>
      </c>
      <c r="AU13" s="26" t="e">
        <f t="shared" si="106"/>
        <v>#REF!</v>
      </c>
      <c r="AV13" s="26" t="e">
        <f t="shared" si="106"/>
        <v>#REF!</v>
      </c>
      <c r="AW13" s="26" t="e">
        <f t="shared" si="106"/>
        <v>#REF!</v>
      </c>
      <c r="AX13" s="26" t="e">
        <f t="shared" si="106"/>
        <v>#REF!</v>
      </c>
      <c r="AY13" s="26" t="e">
        <f t="shared" si="106"/>
        <v>#REF!</v>
      </c>
      <c r="AZ13" s="26" t="e">
        <f t="shared" si="106"/>
        <v>#REF!</v>
      </c>
      <c r="BA13" s="26" t="e">
        <f t="shared" si="106"/>
        <v>#REF!</v>
      </c>
      <c r="BB13" s="26" t="e">
        <f t="shared" si="106"/>
        <v>#REF!</v>
      </c>
      <c r="BC13" s="26" t="e">
        <f t="shared" si="106"/>
        <v>#REF!</v>
      </c>
      <c r="BD13" s="26" t="e">
        <f t="shared" si="106"/>
        <v>#REF!</v>
      </c>
      <c r="BE13" s="26" t="e">
        <f t="shared" si="106"/>
        <v>#REF!</v>
      </c>
      <c r="BF13" s="26" t="e">
        <f t="shared" si="106"/>
        <v>#REF!</v>
      </c>
      <c r="BG13" s="26" t="e">
        <f t="shared" si="106"/>
        <v>#REF!</v>
      </c>
      <c r="BH13" s="26" t="e">
        <f t="shared" si="106"/>
        <v>#REF!</v>
      </c>
      <c r="BI13" s="26" t="e">
        <f t="shared" si="106"/>
        <v>#REF!</v>
      </c>
      <c r="BJ13" s="26" t="e">
        <f t="shared" si="106"/>
        <v>#REF!</v>
      </c>
      <c r="BK13" s="26" t="e">
        <f t="shared" si="106"/>
        <v>#REF!</v>
      </c>
      <c r="BL13" s="26" t="e">
        <f t="shared" si="106"/>
        <v>#REF!</v>
      </c>
      <c r="BM13" s="26" t="e">
        <f t="shared" si="106"/>
        <v>#REF!</v>
      </c>
      <c r="BN13" s="26" t="e">
        <f t="shared" si="106"/>
        <v>#REF!</v>
      </c>
      <c r="BO13" s="26" t="e">
        <f t="shared" ref="BO13:CT13" si="107">SUM(BO9:BO12)</f>
        <v>#REF!</v>
      </c>
      <c r="BP13" s="26" t="e">
        <f t="shared" si="107"/>
        <v>#REF!</v>
      </c>
      <c r="BQ13" s="26" t="e">
        <f t="shared" si="107"/>
        <v>#REF!</v>
      </c>
      <c r="BR13" s="26" t="e">
        <f t="shared" si="107"/>
        <v>#REF!</v>
      </c>
      <c r="BS13" s="26" t="e">
        <f t="shared" si="107"/>
        <v>#REF!</v>
      </c>
      <c r="BT13" s="26" t="e">
        <f t="shared" si="107"/>
        <v>#REF!</v>
      </c>
      <c r="BU13" s="26" t="e">
        <f t="shared" si="107"/>
        <v>#REF!</v>
      </c>
      <c r="BV13" s="26" t="e">
        <f t="shared" si="107"/>
        <v>#REF!</v>
      </c>
      <c r="BW13" s="26" t="e">
        <f t="shared" si="107"/>
        <v>#REF!</v>
      </c>
      <c r="BX13" s="26" t="e">
        <f t="shared" si="107"/>
        <v>#REF!</v>
      </c>
      <c r="BY13" s="26" t="e">
        <f t="shared" si="107"/>
        <v>#REF!</v>
      </c>
      <c r="BZ13" s="26" t="e">
        <f t="shared" si="107"/>
        <v>#REF!</v>
      </c>
      <c r="CA13" s="26" t="e">
        <f t="shared" si="107"/>
        <v>#REF!</v>
      </c>
      <c r="CB13" s="26" t="e">
        <f t="shared" si="107"/>
        <v>#REF!</v>
      </c>
      <c r="CC13" s="26" t="e">
        <f t="shared" si="107"/>
        <v>#REF!</v>
      </c>
      <c r="CD13" s="26" t="e">
        <f t="shared" si="107"/>
        <v>#REF!</v>
      </c>
      <c r="CE13" s="26" t="e">
        <f t="shared" si="107"/>
        <v>#REF!</v>
      </c>
      <c r="CF13" s="26" t="e">
        <f t="shared" si="107"/>
        <v>#REF!</v>
      </c>
      <c r="CG13" s="26" t="e">
        <f t="shared" si="107"/>
        <v>#REF!</v>
      </c>
      <c r="CH13" s="26" t="e">
        <f t="shared" si="107"/>
        <v>#REF!</v>
      </c>
      <c r="CI13" s="26" t="e">
        <f t="shared" si="107"/>
        <v>#REF!</v>
      </c>
      <c r="CJ13" s="26" t="e">
        <f t="shared" si="107"/>
        <v>#REF!</v>
      </c>
      <c r="CK13" s="26" t="e">
        <f t="shared" si="107"/>
        <v>#REF!</v>
      </c>
      <c r="CL13" s="26" t="e">
        <f t="shared" si="107"/>
        <v>#REF!</v>
      </c>
      <c r="CM13" s="26" t="e">
        <f t="shared" si="107"/>
        <v>#REF!</v>
      </c>
      <c r="CN13" s="26" t="e">
        <f t="shared" si="107"/>
        <v>#REF!</v>
      </c>
      <c r="CO13" s="26" t="e">
        <f t="shared" si="107"/>
        <v>#REF!</v>
      </c>
      <c r="CP13" s="26" t="e">
        <f t="shared" si="107"/>
        <v>#REF!</v>
      </c>
      <c r="CQ13" s="26" t="e">
        <f t="shared" si="107"/>
        <v>#REF!</v>
      </c>
      <c r="CR13" s="26" t="e">
        <f t="shared" si="107"/>
        <v>#REF!</v>
      </c>
      <c r="CS13" s="26" t="e">
        <f t="shared" si="107"/>
        <v>#REF!</v>
      </c>
      <c r="CT13" s="26" t="e">
        <f t="shared" si="107"/>
        <v>#REF!</v>
      </c>
      <c r="CU13" s="26" t="e">
        <f t="shared" ref="CU13:DZ13" si="108">SUM(CU9:CU12)</f>
        <v>#REF!</v>
      </c>
      <c r="CV13" s="26" t="e">
        <f t="shared" si="108"/>
        <v>#REF!</v>
      </c>
      <c r="CW13" s="26" t="e">
        <f t="shared" si="108"/>
        <v>#REF!</v>
      </c>
      <c r="CX13" s="26" t="e">
        <f t="shared" si="108"/>
        <v>#REF!</v>
      </c>
      <c r="CY13" s="26" t="e">
        <f t="shared" si="108"/>
        <v>#REF!</v>
      </c>
      <c r="CZ13" s="26" t="e">
        <f t="shared" si="108"/>
        <v>#REF!</v>
      </c>
      <c r="DA13" s="26" t="e">
        <f t="shared" si="108"/>
        <v>#REF!</v>
      </c>
      <c r="DB13" s="26" t="e">
        <f t="shared" si="108"/>
        <v>#REF!</v>
      </c>
      <c r="DC13" s="26" t="e">
        <f t="shared" si="108"/>
        <v>#REF!</v>
      </c>
      <c r="DD13" s="26" t="e">
        <f t="shared" si="108"/>
        <v>#REF!</v>
      </c>
      <c r="DE13" s="26" t="e">
        <f t="shared" si="108"/>
        <v>#REF!</v>
      </c>
      <c r="DF13" s="26" t="e">
        <f t="shared" si="108"/>
        <v>#REF!</v>
      </c>
      <c r="DG13" s="26" t="e">
        <f t="shared" si="108"/>
        <v>#REF!</v>
      </c>
      <c r="DH13" s="26" t="e">
        <f t="shared" si="108"/>
        <v>#REF!</v>
      </c>
      <c r="DI13" s="26" t="e">
        <f t="shared" si="108"/>
        <v>#REF!</v>
      </c>
      <c r="DJ13" s="26" t="e">
        <f t="shared" si="108"/>
        <v>#REF!</v>
      </c>
      <c r="DK13" s="26" t="e">
        <f t="shared" si="108"/>
        <v>#REF!</v>
      </c>
      <c r="DL13" s="26" t="e">
        <f t="shared" si="108"/>
        <v>#REF!</v>
      </c>
      <c r="DM13" s="26" t="e">
        <f t="shared" si="108"/>
        <v>#REF!</v>
      </c>
      <c r="DN13" s="26" t="e">
        <f t="shared" si="108"/>
        <v>#REF!</v>
      </c>
      <c r="DO13" s="26" t="e">
        <f t="shared" si="108"/>
        <v>#REF!</v>
      </c>
      <c r="DP13" s="26" t="e">
        <f t="shared" si="108"/>
        <v>#REF!</v>
      </c>
      <c r="DQ13" s="26" t="e">
        <f t="shared" si="108"/>
        <v>#REF!</v>
      </c>
      <c r="DR13" s="26" t="e">
        <f t="shared" si="108"/>
        <v>#REF!</v>
      </c>
      <c r="DS13" s="26" t="e">
        <f t="shared" si="108"/>
        <v>#REF!</v>
      </c>
      <c r="DT13" s="26" t="e">
        <f t="shared" si="108"/>
        <v>#REF!</v>
      </c>
      <c r="DU13" s="26" t="e">
        <f t="shared" si="108"/>
        <v>#REF!</v>
      </c>
      <c r="DV13" s="26" t="e">
        <f t="shared" si="108"/>
        <v>#REF!</v>
      </c>
      <c r="DW13" s="26" t="e">
        <f t="shared" si="108"/>
        <v>#REF!</v>
      </c>
      <c r="DX13" s="26" t="e">
        <f t="shared" si="108"/>
        <v>#REF!</v>
      </c>
      <c r="DY13" s="26" t="e">
        <f t="shared" si="108"/>
        <v>#REF!</v>
      </c>
      <c r="DZ13" s="26" t="e">
        <f t="shared" si="108"/>
        <v>#REF!</v>
      </c>
      <c r="EA13" s="26" t="e">
        <f t="shared" ref="EA13:FF13" si="109">SUM(EA9:EA12)</f>
        <v>#REF!</v>
      </c>
      <c r="EB13" s="26" t="e">
        <f t="shared" si="109"/>
        <v>#REF!</v>
      </c>
      <c r="EC13" s="26" t="e">
        <f t="shared" si="109"/>
        <v>#REF!</v>
      </c>
      <c r="ED13" s="26" t="e">
        <f t="shared" si="109"/>
        <v>#REF!</v>
      </c>
      <c r="EE13" s="26" t="e">
        <f t="shared" si="109"/>
        <v>#REF!</v>
      </c>
      <c r="EF13" s="26" t="e">
        <f t="shared" si="109"/>
        <v>#REF!</v>
      </c>
      <c r="EG13" s="26" t="e">
        <f t="shared" si="109"/>
        <v>#REF!</v>
      </c>
      <c r="EH13" s="26" t="e">
        <f t="shared" si="109"/>
        <v>#REF!</v>
      </c>
      <c r="EI13" s="26" t="e">
        <f t="shared" si="109"/>
        <v>#REF!</v>
      </c>
      <c r="EJ13" s="26" t="e">
        <f t="shared" si="109"/>
        <v>#REF!</v>
      </c>
      <c r="EK13" s="26" t="e">
        <f t="shared" si="109"/>
        <v>#REF!</v>
      </c>
      <c r="EL13" s="26" t="e">
        <f t="shared" si="109"/>
        <v>#REF!</v>
      </c>
      <c r="EM13" s="26" t="e">
        <f t="shared" si="109"/>
        <v>#REF!</v>
      </c>
      <c r="EN13" s="26" t="e">
        <f t="shared" si="109"/>
        <v>#REF!</v>
      </c>
      <c r="EO13" s="26" t="e">
        <f t="shared" si="109"/>
        <v>#REF!</v>
      </c>
      <c r="EP13" s="26" t="e">
        <f t="shared" si="109"/>
        <v>#REF!</v>
      </c>
      <c r="EQ13" s="26" t="e">
        <f t="shared" si="109"/>
        <v>#REF!</v>
      </c>
      <c r="ER13" s="26" t="e">
        <f t="shared" si="109"/>
        <v>#REF!</v>
      </c>
      <c r="ES13" s="26" t="e">
        <f t="shared" si="109"/>
        <v>#REF!</v>
      </c>
      <c r="ET13" s="26" t="e">
        <f t="shared" si="109"/>
        <v>#REF!</v>
      </c>
      <c r="EU13" s="26" t="e">
        <f t="shared" si="109"/>
        <v>#REF!</v>
      </c>
      <c r="EV13" s="26" t="e">
        <f t="shared" si="109"/>
        <v>#REF!</v>
      </c>
      <c r="EW13" s="26" t="e">
        <f t="shared" si="109"/>
        <v>#REF!</v>
      </c>
      <c r="EX13" s="26" t="e">
        <f t="shared" si="109"/>
        <v>#REF!</v>
      </c>
      <c r="EY13" s="26" t="e">
        <f t="shared" si="109"/>
        <v>#REF!</v>
      </c>
      <c r="EZ13" s="26" t="e">
        <f t="shared" si="109"/>
        <v>#REF!</v>
      </c>
      <c r="FA13" s="26" t="e">
        <f t="shared" si="109"/>
        <v>#REF!</v>
      </c>
      <c r="FB13" s="26" t="e">
        <f t="shared" si="109"/>
        <v>#REF!</v>
      </c>
      <c r="FC13" s="26" t="e">
        <f t="shared" si="109"/>
        <v>#REF!</v>
      </c>
      <c r="FD13" s="26" t="e">
        <f t="shared" si="109"/>
        <v>#REF!</v>
      </c>
      <c r="FE13" s="26" t="e">
        <f t="shared" si="109"/>
        <v>#REF!</v>
      </c>
      <c r="FF13" s="26" t="e">
        <f t="shared" si="109"/>
        <v>#REF!</v>
      </c>
      <c r="FG13" s="26" t="e">
        <f t="shared" ref="FG13:FH13" si="110">SUM(FG9:FG12)</f>
        <v>#REF!</v>
      </c>
      <c r="FH13" s="26" t="e">
        <f t="shared" si="110"/>
        <v>#REF!</v>
      </c>
    </row>
    <row r="14" spans="1:164" s="1" customFormat="1" x14ac:dyDescent="0.2">
      <c r="C14" s="9"/>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row>
    <row r="15" spans="1:164" s="1" customFormat="1" x14ac:dyDescent="0.2">
      <c r="A15" s="1" t="s">
        <v>28</v>
      </c>
    </row>
    <row r="16" spans="1:164" x14ac:dyDescent="0.2">
      <c r="A16" t="s">
        <v>23</v>
      </c>
      <c r="C16" s="11">
        <f>-COSTS_Example!C25</f>
        <v>-27785</v>
      </c>
      <c r="D16" s="25"/>
      <c r="E16" s="25"/>
      <c r="F16" s="25"/>
      <c r="G16" s="11">
        <f>-COSTS_Example!D25</f>
        <v>-27785</v>
      </c>
      <c r="H16" s="25"/>
      <c r="I16" s="11"/>
      <c r="J16" s="25"/>
      <c r="K16" s="11">
        <f>-COSTS_Example!E25</f>
        <v>0</v>
      </c>
      <c r="L16" s="25"/>
      <c r="M16" s="25"/>
      <c r="N16" s="25"/>
      <c r="O16" s="11">
        <f>-COSTS_Example!H25</f>
        <v>-27785</v>
      </c>
      <c r="P16" s="25"/>
      <c r="Q16" s="25"/>
      <c r="R16" s="25"/>
      <c r="S16" s="11">
        <f>-COSTS_Example!I25</f>
        <v>-27785</v>
      </c>
      <c r="T16" s="25"/>
      <c r="U16" s="11"/>
      <c r="V16" s="25"/>
      <c r="W16" s="11">
        <f>-COSTS_Example!J25</f>
        <v>0</v>
      </c>
      <c r="X16" s="25"/>
      <c r="Y16" s="25"/>
      <c r="Z16" s="25"/>
      <c r="AA16" s="11">
        <f>-COSTS_Example!N25</f>
        <v>-27785</v>
      </c>
      <c r="AB16" s="25"/>
      <c r="AC16" s="25"/>
      <c r="AD16" s="25"/>
      <c r="AE16" s="11">
        <f>-COSTS_Example!O25</f>
        <v>-27785</v>
      </c>
      <c r="AF16" s="25"/>
      <c r="AG16" s="11" t="e">
        <f>IF($L$2=0,(-0.5*$B$29),"")</f>
        <v>#REF!</v>
      </c>
      <c r="AH16" s="25"/>
      <c r="AI16" s="11">
        <f>-COSTS_Example!P25</f>
        <v>0</v>
      </c>
      <c r="AJ16" s="25"/>
      <c r="AK16" s="25"/>
      <c r="AL16" s="25"/>
      <c r="AM16" s="11">
        <f>-COSTS_Example!S25</f>
        <v>-27785</v>
      </c>
      <c r="AN16" s="25"/>
      <c r="AO16" s="25"/>
      <c r="AP16" s="25"/>
      <c r="AQ16" s="11">
        <f>-COSTS_Example!T25</f>
        <v>-27785</v>
      </c>
      <c r="AR16" s="25"/>
      <c r="AS16" s="11" t="e">
        <f>IF($L$2=0,(-0.5*$B$29),"")</f>
        <v>#REF!</v>
      </c>
      <c r="AT16" s="25"/>
      <c r="AU16" s="11">
        <f>-COSTS_Example!U25</f>
        <v>0</v>
      </c>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row>
    <row r="17" spans="1:164" x14ac:dyDescent="0.2">
      <c r="A17" s="3" t="s">
        <v>24</v>
      </c>
      <c r="C17" s="25"/>
      <c r="D17" s="12">
        <f t="shared" ref="D17:AI17" si="111">-$B$30</f>
        <v>-4500</v>
      </c>
      <c r="E17" s="12">
        <f t="shared" si="111"/>
        <v>-4500</v>
      </c>
      <c r="F17" s="12">
        <f t="shared" si="111"/>
        <v>-4500</v>
      </c>
      <c r="G17" s="12">
        <f t="shared" si="111"/>
        <v>-4500</v>
      </c>
      <c r="H17" s="12">
        <f t="shared" si="111"/>
        <v>-4500</v>
      </c>
      <c r="I17" s="12">
        <f t="shared" si="111"/>
        <v>-4500</v>
      </c>
      <c r="J17" s="12">
        <f t="shared" si="111"/>
        <v>-4500</v>
      </c>
      <c r="K17" s="12">
        <f t="shared" si="111"/>
        <v>-4500</v>
      </c>
      <c r="L17" s="12">
        <f t="shared" si="111"/>
        <v>-4500</v>
      </c>
      <c r="M17" s="12">
        <f t="shared" si="111"/>
        <v>-4500</v>
      </c>
      <c r="N17" s="12">
        <f t="shared" si="111"/>
        <v>-4500</v>
      </c>
      <c r="O17" s="12">
        <f t="shared" si="111"/>
        <v>-4500</v>
      </c>
      <c r="P17" s="12">
        <f t="shared" si="111"/>
        <v>-4500</v>
      </c>
      <c r="Q17" s="12">
        <f t="shared" si="111"/>
        <v>-4500</v>
      </c>
      <c r="R17" s="12">
        <f t="shared" si="111"/>
        <v>-4500</v>
      </c>
      <c r="S17" s="12">
        <f t="shared" si="111"/>
        <v>-4500</v>
      </c>
      <c r="T17" s="12">
        <f t="shared" si="111"/>
        <v>-4500</v>
      </c>
      <c r="U17" s="12">
        <f t="shared" si="111"/>
        <v>-4500</v>
      </c>
      <c r="V17" s="12">
        <f t="shared" si="111"/>
        <v>-4500</v>
      </c>
      <c r="W17" s="12">
        <f t="shared" si="111"/>
        <v>-4500</v>
      </c>
      <c r="X17" s="12">
        <f t="shared" si="111"/>
        <v>-4500</v>
      </c>
      <c r="Y17" s="12">
        <f t="shared" si="111"/>
        <v>-4500</v>
      </c>
      <c r="Z17" s="12">
        <f t="shared" si="111"/>
        <v>-4500</v>
      </c>
      <c r="AA17" s="12">
        <f t="shared" si="111"/>
        <v>-4500</v>
      </c>
      <c r="AB17" s="12">
        <f t="shared" si="111"/>
        <v>-4500</v>
      </c>
      <c r="AC17" s="12">
        <f t="shared" si="111"/>
        <v>-4500</v>
      </c>
      <c r="AD17" s="12">
        <f t="shared" si="111"/>
        <v>-4500</v>
      </c>
      <c r="AE17" s="12">
        <f t="shared" si="111"/>
        <v>-4500</v>
      </c>
      <c r="AF17" s="12">
        <f t="shared" si="111"/>
        <v>-4500</v>
      </c>
      <c r="AG17" s="12">
        <f t="shared" si="111"/>
        <v>-4500</v>
      </c>
      <c r="AH17" s="12">
        <f t="shared" si="111"/>
        <v>-4500</v>
      </c>
      <c r="AI17" s="12">
        <f t="shared" si="111"/>
        <v>-4500</v>
      </c>
      <c r="AJ17" s="12">
        <f t="shared" ref="AJ17:BN17" si="112">-$B$30</f>
        <v>-4500</v>
      </c>
      <c r="AK17" s="12">
        <f t="shared" si="112"/>
        <v>-4500</v>
      </c>
      <c r="AL17" s="12">
        <f t="shared" si="112"/>
        <v>-4500</v>
      </c>
      <c r="AM17" s="12">
        <f t="shared" si="112"/>
        <v>-4500</v>
      </c>
      <c r="AN17" s="12">
        <f t="shared" si="112"/>
        <v>-4500</v>
      </c>
      <c r="AO17" s="12">
        <f t="shared" si="112"/>
        <v>-4500</v>
      </c>
      <c r="AP17" s="12">
        <f t="shared" si="112"/>
        <v>-4500</v>
      </c>
      <c r="AQ17" s="12">
        <f t="shared" si="112"/>
        <v>-4500</v>
      </c>
      <c r="AR17" s="12">
        <f t="shared" si="112"/>
        <v>-4500</v>
      </c>
      <c r="AS17" s="12">
        <f t="shared" si="112"/>
        <v>-4500</v>
      </c>
      <c r="AT17" s="12">
        <f t="shared" si="112"/>
        <v>-4500</v>
      </c>
      <c r="AU17" s="12">
        <f t="shared" si="112"/>
        <v>-4500</v>
      </c>
      <c r="AV17" s="12">
        <f t="shared" si="112"/>
        <v>-4500</v>
      </c>
      <c r="AW17" s="12">
        <f t="shared" si="112"/>
        <v>-4500</v>
      </c>
      <c r="AX17" s="12">
        <f t="shared" si="112"/>
        <v>-4500</v>
      </c>
      <c r="AY17" s="12">
        <f t="shared" si="112"/>
        <v>-4500</v>
      </c>
      <c r="AZ17" s="12">
        <f t="shared" si="112"/>
        <v>-4500</v>
      </c>
      <c r="BA17" s="12">
        <f t="shared" si="112"/>
        <v>-4500</v>
      </c>
      <c r="BB17" s="12">
        <f t="shared" si="112"/>
        <v>-4500</v>
      </c>
      <c r="BC17" s="12">
        <f t="shared" si="112"/>
        <v>-4500</v>
      </c>
      <c r="BD17" s="12">
        <f t="shared" si="112"/>
        <v>-4500</v>
      </c>
      <c r="BE17" s="12">
        <f t="shared" si="112"/>
        <v>-4500</v>
      </c>
      <c r="BF17" s="12">
        <f t="shared" si="112"/>
        <v>-4500</v>
      </c>
      <c r="BG17" s="12">
        <f t="shared" si="112"/>
        <v>-4500</v>
      </c>
      <c r="BH17" s="12">
        <f t="shared" si="112"/>
        <v>-4500</v>
      </c>
      <c r="BI17" s="12">
        <f t="shared" si="112"/>
        <v>-4500</v>
      </c>
      <c r="BJ17" s="12">
        <f t="shared" si="112"/>
        <v>-4500</v>
      </c>
      <c r="BK17" s="12">
        <f t="shared" si="112"/>
        <v>-4500</v>
      </c>
      <c r="BL17" s="12">
        <f t="shared" si="112"/>
        <v>-4500</v>
      </c>
      <c r="BM17" s="12">
        <f t="shared" si="112"/>
        <v>-4500</v>
      </c>
      <c r="BN17" s="12">
        <f t="shared" si="112"/>
        <v>-4500</v>
      </c>
      <c r="BO17" s="12">
        <f t="shared" ref="BO17:DZ17" si="113">-$B$30</f>
        <v>-4500</v>
      </c>
      <c r="BP17" s="12">
        <f t="shared" si="113"/>
        <v>-4500</v>
      </c>
      <c r="BQ17" s="12">
        <f t="shared" si="113"/>
        <v>-4500</v>
      </c>
      <c r="BR17" s="12">
        <f t="shared" si="113"/>
        <v>-4500</v>
      </c>
      <c r="BS17" s="12">
        <f t="shared" si="113"/>
        <v>-4500</v>
      </c>
      <c r="BT17" s="12">
        <f t="shared" si="113"/>
        <v>-4500</v>
      </c>
      <c r="BU17" s="12">
        <f t="shared" si="113"/>
        <v>-4500</v>
      </c>
      <c r="BV17" s="12">
        <f t="shared" si="113"/>
        <v>-4500</v>
      </c>
      <c r="BW17" s="12">
        <f t="shared" si="113"/>
        <v>-4500</v>
      </c>
      <c r="BX17" s="12">
        <f t="shared" si="113"/>
        <v>-4500</v>
      </c>
      <c r="BY17" s="12">
        <f t="shared" si="113"/>
        <v>-4500</v>
      </c>
      <c r="BZ17" s="12">
        <f t="shared" si="113"/>
        <v>-4500</v>
      </c>
      <c r="CA17" s="12">
        <f t="shared" si="113"/>
        <v>-4500</v>
      </c>
      <c r="CB17" s="12">
        <f t="shared" si="113"/>
        <v>-4500</v>
      </c>
      <c r="CC17" s="12">
        <f t="shared" si="113"/>
        <v>-4500</v>
      </c>
      <c r="CD17" s="12">
        <f t="shared" si="113"/>
        <v>-4500</v>
      </c>
      <c r="CE17" s="12">
        <f t="shared" si="113"/>
        <v>-4500</v>
      </c>
      <c r="CF17" s="12">
        <f t="shared" si="113"/>
        <v>-4500</v>
      </c>
      <c r="CG17" s="12">
        <f t="shared" si="113"/>
        <v>-4500</v>
      </c>
      <c r="CH17" s="12">
        <f t="shared" si="113"/>
        <v>-4500</v>
      </c>
      <c r="CI17" s="12">
        <f t="shared" si="113"/>
        <v>-4500</v>
      </c>
      <c r="CJ17" s="12">
        <f t="shared" si="113"/>
        <v>-4500</v>
      </c>
      <c r="CK17" s="12">
        <f t="shared" si="113"/>
        <v>-4500</v>
      </c>
      <c r="CL17" s="12">
        <f t="shared" si="113"/>
        <v>-4500</v>
      </c>
      <c r="CM17" s="12">
        <f t="shared" si="113"/>
        <v>-4500</v>
      </c>
      <c r="CN17" s="12">
        <f t="shared" si="113"/>
        <v>-4500</v>
      </c>
      <c r="CO17" s="12">
        <f t="shared" si="113"/>
        <v>-4500</v>
      </c>
      <c r="CP17" s="12">
        <f t="shared" si="113"/>
        <v>-4500</v>
      </c>
      <c r="CQ17" s="12">
        <f t="shared" si="113"/>
        <v>-4500</v>
      </c>
      <c r="CR17" s="12">
        <f t="shared" si="113"/>
        <v>-4500</v>
      </c>
      <c r="CS17" s="12">
        <f t="shared" si="113"/>
        <v>-4500</v>
      </c>
      <c r="CT17" s="12">
        <f t="shared" si="113"/>
        <v>-4500</v>
      </c>
      <c r="CU17" s="12">
        <f t="shared" si="113"/>
        <v>-4500</v>
      </c>
      <c r="CV17" s="12">
        <f t="shared" si="113"/>
        <v>-4500</v>
      </c>
      <c r="CW17" s="12">
        <f t="shared" si="113"/>
        <v>-4500</v>
      </c>
      <c r="CX17" s="12">
        <f t="shared" si="113"/>
        <v>-4500</v>
      </c>
      <c r="CY17" s="12">
        <f t="shared" si="113"/>
        <v>-4500</v>
      </c>
      <c r="CZ17" s="12">
        <f t="shared" si="113"/>
        <v>-4500</v>
      </c>
      <c r="DA17" s="12">
        <f t="shared" si="113"/>
        <v>-4500</v>
      </c>
      <c r="DB17" s="12">
        <f t="shared" si="113"/>
        <v>-4500</v>
      </c>
      <c r="DC17" s="12">
        <f t="shared" si="113"/>
        <v>-4500</v>
      </c>
      <c r="DD17" s="12">
        <f t="shared" si="113"/>
        <v>-4500</v>
      </c>
      <c r="DE17" s="12">
        <f t="shared" si="113"/>
        <v>-4500</v>
      </c>
      <c r="DF17" s="12">
        <f t="shared" si="113"/>
        <v>-4500</v>
      </c>
      <c r="DG17" s="12">
        <f t="shared" si="113"/>
        <v>-4500</v>
      </c>
      <c r="DH17" s="12">
        <f t="shared" si="113"/>
        <v>-4500</v>
      </c>
      <c r="DI17" s="12">
        <f t="shared" si="113"/>
        <v>-4500</v>
      </c>
      <c r="DJ17" s="12">
        <f t="shared" si="113"/>
        <v>-4500</v>
      </c>
      <c r="DK17" s="12">
        <f t="shared" si="113"/>
        <v>-4500</v>
      </c>
      <c r="DL17" s="12">
        <f t="shared" si="113"/>
        <v>-4500</v>
      </c>
      <c r="DM17" s="12">
        <f t="shared" si="113"/>
        <v>-4500</v>
      </c>
      <c r="DN17" s="12">
        <f t="shared" si="113"/>
        <v>-4500</v>
      </c>
      <c r="DO17" s="12">
        <f t="shared" si="113"/>
        <v>-4500</v>
      </c>
      <c r="DP17" s="12">
        <f t="shared" si="113"/>
        <v>-4500</v>
      </c>
      <c r="DQ17" s="12">
        <f t="shared" si="113"/>
        <v>-4500</v>
      </c>
      <c r="DR17" s="12">
        <f t="shared" si="113"/>
        <v>-4500</v>
      </c>
      <c r="DS17" s="12">
        <f t="shared" si="113"/>
        <v>-4500</v>
      </c>
      <c r="DT17" s="12">
        <f t="shared" si="113"/>
        <v>-4500</v>
      </c>
      <c r="DU17" s="12">
        <f t="shared" si="113"/>
        <v>-4500</v>
      </c>
      <c r="DV17" s="12">
        <f t="shared" si="113"/>
        <v>-4500</v>
      </c>
      <c r="DW17" s="12">
        <f t="shared" si="113"/>
        <v>-4500</v>
      </c>
      <c r="DX17" s="12">
        <f t="shared" si="113"/>
        <v>-4500</v>
      </c>
      <c r="DY17" s="12">
        <f t="shared" si="113"/>
        <v>-4500</v>
      </c>
      <c r="DZ17" s="12">
        <f t="shared" si="113"/>
        <v>-4500</v>
      </c>
      <c r="EA17" s="12">
        <f t="shared" ref="EA17:FH17" si="114">-$B$30</f>
        <v>-4500</v>
      </c>
      <c r="EB17" s="12">
        <f t="shared" si="114"/>
        <v>-4500</v>
      </c>
      <c r="EC17" s="12">
        <f t="shared" si="114"/>
        <v>-4500</v>
      </c>
      <c r="ED17" s="12">
        <f t="shared" si="114"/>
        <v>-4500</v>
      </c>
      <c r="EE17" s="12">
        <f t="shared" si="114"/>
        <v>-4500</v>
      </c>
      <c r="EF17" s="12">
        <f t="shared" si="114"/>
        <v>-4500</v>
      </c>
      <c r="EG17" s="12">
        <f t="shared" si="114"/>
        <v>-4500</v>
      </c>
      <c r="EH17" s="12">
        <f t="shared" si="114"/>
        <v>-4500</v>
      </c>
      <c r="EI17" s="12">
        <f t="shared" si="114"/>
        <v>-4500</v>
      </c>
      <c r="EJ17" s="12">
        <f t="shared" si="114"/>
        <v>-4500</v>
      </c>
      <c r="EK17" s="12">
        <f t="shared" si="114"/>
        <v>-4500</v>
      </c>
      <c r="EL17" s="12">
        <f t="shared" si="114"/>
        <v>-4500</v>
      </c>
      <c r="EM17" s="12">
        <f t="shared" si="114"/>
        <v>-4500</v>
      </c>
      <c r="EN17" s="12">
        <f t="shared" si="114"/>
        <v>-4500</v>
      </c>
      <c r="EO17" s="12">
        <f t="shared" si="114"/>
        <v>-4500</v>
      </c>
      <c r="EP17" s="12">
        <f t="shared" si="114"/>
        <v>-4500</v>
      </c>
      <c r="EQ17" s="12">
        <f t="shared" si="114"/>
        <v>-4500</v>
      </c>
      <c r="ER17" s="12">
        <f t="shared" si="114"/>
        <v>-4500</v>
      </c>
      <c r="ES17" s="12">
        <f t="shared" si="114"/>
        <v>-4500</v>
      </c>
      <c r="ET17" s="12">
        <f t="shared" si="114"/>
        <v>-4500</v>
      </c>
      <c r="EU17" s="12">
        <f t="shared" si="114"/>
        <v>-4500</v>
      </c>
      <c r="EV17" s="12">
        <f t="shared" si="114"/>
        <v>-4500</v>
      </c>
      <c r="EW17" s="12">
        <f t="shared" si="114"/>
        <v>-4500</v>
      </c>
      <c r="EX17" s="12">
        <f t="shared" si="114"/>
        <v>-4500</v>
      </c>
      <c r="EY17" s="12">
        <f t="shared" si="114"/>
        <v>-4500</v>
      </c>
      <c r="EZ17" s="12">
        <f t="shared" si="114"/>
        <v>-4500</v>
      </c>
      <c r="FA17" s="12">
        <f t="shared" si="114"/>
        <v>-4500</v>
      </c>
      <c r="FB17" s="12">
        <f t="shared" si="114"/>
        <v>-4500</v>
      </c>
      <c r="FC17" s="12">
        <f t="shared" si="114"/>
        <v>-4500</v>
      </c>
      <c r="FD17" s="12">
        <f t="shared" si="114"/>
        <v>-4500</v>
      </c>
      <c r="FE17" s="12">
        <f t="shared" si="114"/>
        <v>-4500</v>
      </c>
      <c r="FF17" s="12">
        <f t="shared" si="114"/>
        <v>-4500</v>
      </c>
      <c r="FG17" s="12">
        <f t="shared" si="114"/>
        <v>-4500</v>
      </c>
      <c r="FH17" s="12">
        <f t="shared" si="114"/>
        <v>-4500</v>
      </c>
    </row>
    <row r="18" spans="1:164" s="1" customFormat="1" x14ac:dyDescent="0.2">
      <c r="A18" s="1" t="s">
        <v>22</v>
      </c>
      <c r="C18" s="24">
        <f t="shared" ref="C18:BN18" si="115">SUM(C16:C17)</f>
        <v>-27785</v>
      </c>
      <c r="D18" s="24">
        <f t="shared" si="115"/>
        <v>-4500</v>
      </c>
      <c r="E18" s="24">
        <f t="shared" si="115"/>
        <v>-4500</v>
      </c>
      <c r="F18" s="24">
        <f t="shared" si="115"/>
        <v>-4500</v>
      </c>
      <c r="G18" s="24">
        <f t="shared" si="115"/>
        <v>-32285</v>
      </c>
      <c r="H18" s="24">
        <f t="shared" si="115"/>
        <v>-4500</v>
      </c>
      <c r="I18" s="24">
        <f t="shared" si="115"/>
        <v>-4500</v>
      </c>
      <c r="J18" s="24">
        <f t="shared" si="115"/>
        <v>-4500</v>
      </c>
      <c r="K18" s="24">
        <f t="shared" si="115"/>
        <v>-4500</v>
      </c>
      <c r="L18" s="24">
        <f t="shared" si="115"/>
        <v>-4500</v>
      </c>
      <c r="M18" s="24">
        <f t="shared" si="115"/>
        <v>-4500</v>
      </c>
      <c r="N18" s="24">
        <f t="shared" si="115"/>
        <v>-4500</v>
      </c>
      <c r="O18" s="24">
        <f t="shared" si="115"/>
        <v>-32285</v>
      </c>
      <c r="P18" s="24">
        <f t="shared" si="115"/>
        <v>-4500</v>
      </c>
      <c r="Q18" s="24">
        <f t="shared" si="115"/>
        <v>-4500</v>
      </c>
      <c r="R18" s="24">
        <f t="shared" si="115"/>
        <v>-4500</v>
      </c>
      <c r="S18" s="24">
        <f t="shared" si="115"/>
        <v>-32285</v>
      </c>
      <c r="T18" s="24">
        <f t="shared" si="115"/>
        <v>-4500</v>
      </c>
      <c r="U18" s="24">
        <f t="shared" si="115"/>
        <v>-4500</v>
      </c>
      <c r="V18" s="24">
        <f t="shared" si="115"/>
        <v>-4500</v>
      </c>
      <c r="W18" s="24">
        <f t="shared" si="115"/>
        <v>-4500</v>
      </c>
      <c r="X18" s="24">
        <f t="shared" si="115"/>
        <v>-4500</v>
      </c>
      <c r="Y18" s="24">
        <f t="shared" si="115"/>
        <v>-4500</v>
      </c>
      <c r="Z18" s="24">
        <f t="shared" si="115"/>
        <v>-4500</v>
      </c>
      <c r="AA18" s="24">
        <f t="shared" si="115"/>
        <v>-32285</v>
      </c>
      <c r="AB18" s="24">
        <f t="shared" si="115"/>
        <v>-4500</v>
      </c>
      <c r="AC18" s="24">
        <f t="shared" si="115"/>
        <v>-4500</v>
      </c>
      <c r="AD18" s="24">
        <f t="shared" si="115"/>
        <v>-4500</v>
      </c>
      <c r="AE18" s="24">
        <f t="shared" si="115"/>
        <v>-32285</v>
      </c>
      <c r="AF18" s="24">
        <f t="shared" si="115"/>
        <v>-4500</v>
      </c>
      <c r="AG18" s="24" t="e">
        <f t="shared" si="115"/>
        <v>#REF!</v>
      </c>
      <c r="AH18" s="24">
        <f t="shared" si="115"/>
        <v>-4500</v>
      </c>
      <c r="AI18" s="24">
        <f t="shared" si="115"/>
        <v>-4500</v>
      </c>
      <c r="AJ18" s="24">
        <f t="shared" si="115"/>
        <v>-4500</v>
      </c>
      <c r="AK18" s="24">
        <f t="shared" si="115"/>
        <v>-4500</v>
      </c>
      <c r="AL18" s="24">
        <f t="shared" si="115"/>
        <v>-4500</v>
      </c>
      <c r="AM18" s="24">
        <f t="shared" si="115"/>
        <v>-32285</v>
      </c>
      <c r="AN18" s="24">
        <f t="shared" si="115"/>
        <v>-4500</v>
      </c>
      <c r="AO18" s="24">
        <f t="shared" si="115"/>
        <v>-4500</v>
      </c>
      <c r="AP18" s="24">
        <f t="shared" si="115"/>
        <v>-4500</v>
      </c>
      <c r="AQ18" s="24">
        <f t="shared" si="115"/>
        <v>-32285</v>
      </c>
      <c r="AR18" s="24">
        <f t="shared" si="115"/>
        <v>-4500</v>
      </c>
      <c r="AS18" s="24" t="e">
        <f t="shared" si="115"/>
        <v>#REF!</v>
      </c>
      <c r="AT18" s="24">
        <f t="shared" si="115"/>
        <v>-4500</v>
      </c>
      <c r="AU18" s="24">
        <f t="shared" si="115"/>
        <v>-4500</v>
      </c>
      <c r="AV18" s="24">
        <f t="shared" si="115"/>
        <v>-4500</v>
      </c>
      <c r="AW18" s="24">
        <f t="shared" si="115"/>
        <v>-4500</v>
      </c>
      <c r="AX18" s="24">
        <f t="shared" si="115"/>
        <v>-4500</v>
      </c>
      <c r="AY18" s="24">
        <f t="shared" si="115"/>
        <v>-4500</v>
      </c>
      <c r="AZ18" s="24">
        <f t="shared" si="115"/>
        <v>-4500</v>
      </c>
      <c r="BA18" s="24">
        <f t="shared" si="115"/>
        <v>-4500</v>
      </c>
      <c r="BB18" s="24">
        <f t="shared" si="115"/>
        <v>-4500</v>
      </c>
      <c r="BC18" s="24">
        <f t="shared" si="115"/>
        <v>-4500</v>
      </c>
      <c r="BD18" s="24">
        <f t="shared" si="115"/>
        <v>-4500</v>
      </c>
      <c r="BE18" s="24">
        <f t="shared" si="115"/>
        <v>-4500</v>
      </c>
      <c r="BF18" s="24">
        <f t="shared" si="115"/>
        <v>-4500</v>
      </c>
      <c r="BG18" s="24">
        <f t="shared" si="115"/>
        <v>-4500</v>
      </c>
      <c r="BH18" s="24">
        <f t="shared" si="115"/>
        <v>-4500</v>
      </c>
      <c r="BI18" s="24">
        <f t="shared" si="115"/>
        <v>-4500</v>
      </c>
      <c r="BJ18" s="24">
        <f t="shared" si="115"/>
        <v>-4500</v>
      </c>
      <c r="BK18" s="24">
        <f t="shared" si="115"/>
        <v>-4500</v>
      </c>
      <c r="BL18" s="24">
        <f t="shared" si="115"/>
        <v>-4500</v>
      </c>
      <c r="BM18" s="24">
        <f t="shared" si="115"/>
        <v>-4500</v>
      </c>
      <c r="BN18" s="24">
        <f t="shared" si="115"/>
        <v>-4500</v>
      </c>
      <c r="BO18" s="24">
        <f t="shared" ref="BO18:DS18" si="116">SUM(BO16:BO17)</f>
        <v>-4500</v>
      </c>
      <c r="BP18" s="24">
        <f t="shared" si="116"/>
        <v>-4500</v>
      </c>
      <c r="BQ18" s="24">
        <f t="shared" si="116"/>
        <v>-4500</v>
      </c>
      <c r="BR18" s="24">
        <f t="shared" si="116"/>
        <v>-4500</v>
      </c>
      <c r="BS18" s="24">
        <f t="shared" si="116"/>
        <v>-4500</v>
      </c>
      <c r="BT18" s="24">
        <f t="shared" si="116"/>
        <v>-4500</v>
      </c>
      <c r="BU18" s="24">
        <f t="shared" si="116"/>
        <v>-4500</v>
      </c>
      <c r="BV18" s="24">
        <f t="shared" si="116"/>
        <v>-4500</v>
      </c>
      <c r="BW18" s="24">
        <f t="shared" si="116"/>
        <v>-4500</v>
      </c>
      <c r="BX18" s="24">
        <f t="shared" si="116"/>
        <v>-4500</v>
      </c>
      <c r="BY18" s="24">
        <f t="shared" si="116"/>
        <v>-4500</v>
      </c>
      <c r="BZ18" s="24">
        <f t="shared" si="116"/>
        <v>-4500</v>
      </c>
      <c r="CA18" s="24">
        <f t="shared" si="116"/>
        <v>-4500</v>
      </c>
      <c r="CB18" s="24">
        <f t="shared" si="116"/>
        <v>-4500</v>
      </c>
      <c r="CC18" s="24">
        <f t="shared" si="116"/>
        <v>-4500</v>
      </c>
      <c r="CD18" s="24">
        <f t="shared" si="116"/>
        <v>-4500</v>
      </c>
      <c r="CE18" s="24">
        <f t="shared" si="116"/>
        <v>-4500</v>
      </c>
      <c r="CF18" s="24">
        <f t="shared" si="116"/>
        <v>-4500</v>
      </c>
      <c r="CG18" s="24">
        <f t="shared" si="116"/>
        <v>-4500</v>
      </c>
      <c r="CH18" s="24">
        <f t="shared" si="116"/>
        <v>-4500</v>
      </c>
      <c r="CI18" s="24">
        <f t="shared" si="116"/>
        <v>-4500</v>
      </c>
      <c r="CJ18" s="24">
        <f t="shared" si="116"/>
        <v>-4500</v>
      </c>
      <c r="CK18" s="24">
        <f t="shared" si="116"/>
        <v>-4500</v>
      </c>
      <c r="CL18" s="24">
        <f t="shared" si="116"/>
        <v>-4500</v>
      </c>
      <c r="CM18" s="24">
        <f t="shared" si="116"/>
        <v>-4500</v>
      </c>
      <c r="CN18" s="24">
        <f t="shared" si="116"/>
        <v>-4500</v>
      </c>
      <c r="CO18" s="24">
        <f t="shared" si="116"/>
        <v>-4500</v>
      </c>
      <c r="CP18" s="24">
        <f t="shared" si="116"/>
        <v>-4500</v>
      </c>
      <c r="CQ18" s="24">
        <f t="shared" si="116"/>
        <v>-4500</v>
      </c>
      <c r="CR18" s="24">
        <f t="shared" si="116"/>
        <v>-4500</v>
      </c>
      <c r="CS18" s="24">
        <f t="shared" si="116"/>
        <v>-4500</v>
      </c>
      <c r="CT18" s="24">
        <f t="shared" si="116"/>
        <v>-4500</v>
      </c>
      <c r="CU18" s="24">
        <f t="shared" si="116"/>
        <v>-4500</v>
      </c>
      <c r="CV18" s="24">
        <f t="shared" si="116"/>
        <v>-4500</v>
      </c>
      <c r="CW18" s="24">
        <f t="shared" si="116"/>
        <v>-4500</v>
      </c>
      <c r="CX18" s="24">
        <f t="shared" si="116"/>
        <v>-4500</v>
      </c>
      <c r="CY18" s="24">
        <f t="shared" si="116"/>
        <v>-4500</v>
      </c>
      <c r="CZ18" s="24">
        <f t="shared" si="116"/>
        <v>-4500</v>
      </c>
      <c r="DA18" s="24">
        <f t="shared" si="116"/>
        <v>-4500</v>
      </c>
      <c r="DB18" s="24">
        <f t="shared" si="116"/>
        <v>-4500</v>
      </c>
      <c r="DC18" s="24">
        <f t="shared" si="116"/>
        <v>-4500</v>
      </c>
      <c r="DD18" s="24">
        <f t="shared" si="116"/>
        <v>-4500</v>
      </c>
      <c r="DE18" s="24">
        <f t="shared" si="116"/>
        <v>-4500</v>
      </c>
      <c r="DF18" s="24">
        <f t="shared" si="116"/>
        <v>-4500</v>
      </c>
      <c r="DG18" s="24">
        <f t="shared" si="116"/>
        <v>-4500</v>
      </c>
      <c r="DH18" s="24">
        <f t="shared" si="116"/>
        <v>-4500</v>
      </c>
      <c r="DI18" s="24">
        <f t="shared" si="116"/>
        <v>-4500</v>
      </c>
      <c r="DJ18" s="24">
        <f t="shared" si="116"/>
        <v>-4500</v>
      </c>
      <c r="DK18" s="24">
        <f t="shared" si="116"/>
        <v>-4500</v>
      </c>
      <c r="DL18" s="24">
        <f t="shared" si="116"/>
        <v>-4500</v>
      </c>
      <c r="DM18" s="24">
        <f t="shared" si="116"/>
        <v>-4500</v>
      </c>
      <c r="DN18" s="24">
        <f t="shared" si="116"/>
        <v>-4500</v>
      </c>
      <c r="DO18" s="24">
        <f t="shared" si="116"/>
        <v>-4500</v>
      </c>
      <c r="DP18" s="24">
        <f t="shared" si="116"/>
        <v>-4500</v>
      </c>
      <c r="DQ18" s="24">
        <f t="shared" si="116"/>
        <v>-4500</v>
      </c>
      <c r="DR18" s="24">
        <f t="shared" si="116"/>
        <v>-4500</v>
      </c>
      <c r="DS18" s="24">
        <f t="shared" si="116"/>
        <v>-4500</v>
      </c>
      <c r="DT18" s="24">
        <f t="shared" ref="DT18:FH18" si="117">SUM(DT16:DT17)</f>
        <v>-4500</v>
      </c>
      <c r="DU18" s="24">
        <f t="shared" si="117"/>
        <v>-4500</v>
      </c>
      <c r="DV18" s="24">
        <f t="shared" si="117"/>
        <v>-4500</v>
      </c>
      <c r="DW18" s="24">
        <f t="shared" si="117"/>
        <v>-4500</v>
      </c>
      <c r="DX18" s="24">
        <f t="shared" si="117"/>
        <v>-4500</v>
      </c>
      <c r="DY18" s="24">
        <f t="shared" si="117"/>
        <v>-4500</v>
      </c>
      <c r="DZ18" s="24">
        <f t="shared" si="117"/>
        <v>-4500</v>
      </c>
      <c r="EA18" s="24">
        <f t="shared" si="117"/>
        <v>-4500</v>
      </c>
      <c r="EB18" s="24">
        <f t="shared" si="117"/>
        <v>-4500</v>
      </c>
      <c r="EC18" s="24">
        <f t="shared" si="117"/>
        <v>-4500</v>
      </c>
      <c r="ED18" s="24">
        <f t="shared" si="117"/>
        <v>-4500</v>
      </c>
      <c r="EE18" s="24">
        <f t="shared" si="117"/>
        <v>-4500</v>
      </c>
      <c r="EF18" s="24">
        <f t="shared" si="117"/>
        <v>-4500</v>
      </c>
      <c r="EG18" s="24">
        <f t="shared" si="117"/>
        <v>-4500</v>
      </c>
      <c r="EH18" s="24">
        <f t="shared" si="117"/>
        <v>-4500</v>
      </c>
      <c r="EI18" s="24">
        <f t="shared" si="117"/>
        <v>-4500</v>
      </c>
      <c r="EJ18" s="24">
        <f t="shared" si="117"/>
        <v>-4500</v>
      </c>
      <c r="EK18" s="24">
        <f t="shared" si="117"/>
        <v>-4500</v>
      </c>
      <c r="EL18" s="24">
        <f t="shared" si="117"/>
        <v>-4500</v>
      </c>
      <c r="EM18" s="24">
        <f t="shared" si="117"/>
        <v>-4500</v>
      </c>
      <c r="EN18" s="24">
        <f t="shared" si="117"/>
        <v>-4500</v>
      </c>
      <c r="EO18" s="24">
        <f t="shared" si="117"/>
        <v>-4500</v>
      </c>
      <c r="EP18" s="24">
        <f t="shared" si="117"/>
        <v>-4500</v>
      </c>
      <c r="EQ18" s="24">
        <f t="shared" si="117"/>
        <v>-4500</v>
      </c>
      <c r="ER18" s="24">
        <f t="shared" si="117"/>
        <v>-4500</v>
      </c>
      <c r="ES18" s="24">
        <f t="shared" si="117"/>
        <v>-4500</v>
      </c>
      <c r="ET18" s="24">
        <f t="shared" si="117"/>
        <v>-4500</v>
      </c>
      <c r="EU18" s="24">
        <f t="shared" si="117"/>
        <v>-4500</v>
      </c>
      <c r="EV18" s="24">
        <f t="shared" si="117"/>
        <v>-4500</v>
      </c>
      <c r="EW18" s="24">
        <f t="shared" si="117"/>
        <v>-4500</v>
      </c>
      <c r="EX18" s="24">
        <f t="shared" si="117"/>
        <v>-4500</v>
      </c>
      <c r="EY18" s="24">
        <f t="shared" si="117"/>
        <v>-4500</v>
      </c>
      <c r="EZ18" s="24">
        <f t="shared" si="117"/>
        <v>-4500</v>
      </c>
      <c r="FA18" s="24">
        <f t="shared" si="117"/>
        <v>-4500</v>
      </c>
      <c r="FB18" s="24">
        <f t="shared" si="117"/>
        <v>-4500</v>
      </c>
      <c r="FC18" s="24">
        <f t="shared" si="117"/>
        <v>-4500</v>
      </c>
      <c r="FD18" s="24">
        <f t="shared" si="117"/>
        <v>-4500</v>
      </c>
      <c r="FE18" s="24">
        <f t="shared" si="117"/>
        <v>-4500</v>
      </c>
      <c r="FF18" s="24">
        <f t="shared" si="117"/>
        <v>-4500</v>
      </c>
      <c r="FG18" s="24">
        <f t="shared" si="117"/>
        <v>-4500</v>
      </c>
      <c r="FH18" s="24">
        <f t="shared" si="117"/>
        <v>-4500</v>
      </c>
    </row>
    <row r="20" spans="1:164" s="1" customFormat="1" x14ac:dyDescent="0.2">
      <c r="A20" s="1" t="s">
        <v>25</v>
      </c>
      <c r="C20" s="24">
        <f t="shared" ref="C20:BN20" si="118">C13+C18</f>
        <v>10215</v>
      </c>
      <c r="D20" s="24">
        <f t="shared" si="118"/>
        <v>10215</v>
      </c>
      <c r="E20" s="24">
        <f t="shared" si="118"/>
        <v>10215</v>
      </c>
      <c r="F20" s="24">
        <f t="shared" si="118"/>
        <v>10215</v>
      </c>
      <c r="G20" s="24">
        <f t="shared" si="118"/>
        <v>-17570</v>
      </c>
      <c r="H20" s="24">
        <f t="shared" si="118"/>
        <v>0</v>
      </c>
      <c r="I20" s="24">
        <f t="shared" si="118"/>
        <v>0</v>
      </c>
      <c r="J20" s="24">
        <f t="shared" si="118"/>
        <v>0</v>
      </c>
      <c r="K20" s="24">
        <f t="shared" si="118"/>
        <v>0</v>
      </c>
      <c r="L20" s="24">
        <f t="shared" si="118"/>
        <v>0</v>
      </c>
      <c r="M20" s="24">
        <f t="shared" si="118"/>
        <v>0</v>
      </c>
      <c r="N20" s="24">
        <f t="shared" si="118"/>
        <v>0</v>
      </c>
      <c r="O20" s="24">
        <f t="shared" si="118"/>
        <v>-9785</v>
      </c>
      <c r="P20" s="24">
        <f t="shared" si="118"/>
        <v>0</v>
      </c>
      <c r="Q20" s="24">
        <f t="shared" si="118"/>
        <v>0</v>
      </c>
      <c r="R20" s="24">
        <f t="shared" si="118"/>
        <v>0</v>
      </c>
      <c r="S20" s="24">
        <f t="shared" si="118"/>
        <v>-27785</v>
      </c>
      <c r="T20" s="24">
        <f t="shared" si="118"/>
        <v>0</v>
      </c>
      <c r="U20" s="24">
        <f t="shared" si="118"/>
        <v>0</v>
      </c>
      <c r="V20" s="24">
        <f t="shared" si="118"/>
        <v>0</v>
      </c>
      <c r="W20" s="24">
        <f t="shared" si="118"/>
        <v>0</v>
      </c>
      <c r="X20" s="24">
        <f t="shared" si="118"/>
        <v>0</v>
      </c>
      <c r="Y20" s="24">
        <f t="shared" si="118"/>
        <v>0</v>
      </c>
      <c r="Z20" s="24">
        <f t="shared" si="118"/>
        <v>0</v>
      </c>
      <c r="AA20" s="24">
        <f t="shared" si="118"/>
        <v>-27785</v>
      </c>
      <c r="AB20" s="24">
        <f t="shared" si="118"/>
        <v>1750</v>
      </c>
      <c r="AC20" s="24">
        <f t="shared" si="118"/>
        <v>1750</v>
      </c>
      <c r="AD20" s="24">
        <f t="shared" si="118"/>
        <v>1750</v>
      </c>
      <c r="AE20" s="24">
        <f t="shared" si="118"/>
        <v>-26035</v>
      </c>
      <c r="AF20" s="24">
        <f t="shared" si="118"/>
        <v>1750</v>
      </c>
      <c r="AG20" s="24" t="e">
        <f t="shared" si="118"/>
        <v>#REF!</v>
      </c>
      <c r="AH20" s="24" t="e">
        <f t="shared" si="118"/>
        <v>#REF!</v>
      </c>
      <c r="AI20" s="24" t="e">
        <f t="shared" si="118"/>
        <v>#REF!</v>
      </c>
      <c r="AJ20" s="24" t="e">
        <f t="shared" si="118"/>
        <v>#REF!</v>
      </c>
      <c r="AK20" s="24" t="e">
        <f t="shared" si="118"/>
        <v>#REF!</v>
      </c>
      <c r="AL20" s="24" t="e">
        <f t="shared" si="118"/>
        <v>#REF!</v>
      </c>
      <c r="AM20" s="24" t="e">
        <f t="shared" si="118"/>
        <v>#REF!</v>
      </c>
      <c r="AN20" s="24" t="e">
        <f t="shared" si="118"/>
        <v>#REF!</v>
      </c>
      <c r="AO20" s="24" t="e">
        <f t="shared" si="118"/>
        <v>#REF!</v>
      </c>
      <c r="AP20" s="24" t="e">
        <f t="shared" si="118"/>
        <v>#REF!</v>
      </c>
      <c r="AQ20" s="24" t="e">
        <f t="shared" si="118"/>
        <v>#REF!</v>
      </c>
      <c r="AR20" s="24" t="e">
        <f t="shared" si="118"/>
        <v>#REF!</v>
      </c>
      <c r="AS20" s="24" t="e">
        <f t="shared" si="118"/>
        <v>#REF!</v>
      </c>
      <c r="AT20" s="24" t="e">
        <f t="shared" si="118"/>
        <v>#REF!</v>
      </c>
      <c r="AU20" s="24" t="e">
        <f t="shared" si="118"/>
        <v>#REF!</v>
      </c>
      <c r="AV20" s="24" t="e">
        <f t="shared" si="118"/>
        <v>#REF!</v>
      </c>
      <c r="AW20" s="24" t="e">
        <f t="shared" si="118"/>
        <v>#REF!</v>
      </c>
      <c r="AX20" s="24" t="e">
        <f t="shared" si="118"/>
        <v>#REF!</v>
      </c>
      <c r="AY20" s="24" t="e">
        <f t="shared" si="118"/>
        <v>#REF!</v>
      </c>
      <c r="AZ20" s="24" t="e">
        <f t="shared" si="118"/>
        <v>#REF!</v>
      </c>
      <c r="BA20" s="24" t="e">
        <f t="shared" si="118"/>
        <v>#REF!</v>
      </c>
      <c r="BB20" s="24" t="e">
        <f t="shared" si="118"/>
        <v>#REF!</v>
      </c>
      <c r="BC20" s="24" t="e">
        <f t="shared" si="118"/>
        <v>#REF!</v>
      </c>
      <c r="BD20" s="24" t="e">
        <f t="shared" si="118"/>
        <v>#REF!</v>
      </c>
      <c r="BE20" s="24" t="e">
        <f t="shared" si="118"/>
        <v>#REF!</v>
      </c>
      <c r="BF20" s="24" t="e">
        <f t="shared" si="118"/>
        <v>#REF!</v>
      </c>
      <c r="BG20" s="24" t="e">
        <f t="shared" si="118"/>
        <v>#REF!</v>
      </c>
      <c r="BH20" s="24" t="e">
        <f t="shared" si="118"/>
        <v>#REF!</v>
      </c>
      <c r="BI20" s="24" t="e">
        <f t="shared" si="118"/>
        <v>#REF!</v>
      </c>
      <c r="BJ20" s="24" t="e">
        <f t="shared" si="118"/>
        <v>#REF!</v>
      </c>
      <c r="BK20" s="24" t="e">
        <f t="shared" si="118"/>
        <v>#REF!</v>
      </c>
      <c r="BL20" s="24" t="e">
        <f t="shared" si="118"/>
        <v>#REF!</v>
      </c>
      <c r="BM20" s="24" t="e">
        <f t="shared" si="118"/>
        <v>#REF!</v>
      </c>
      <c r="BN20" s="24" t="e">
        <f t="shared" si="118"/>
        <v>#REF!</v>
      </c>
      <c r="BO20" s="24" t="e">
        <f t="shared" ref="BO20:DS20" si="119">BO13+BO18</f>
        <v>#REF!</v>
      </c>
      <c r="BP20" s="24" t="e">
        <f t="shared" si="119"/>
        <v>#REF!</v>
      </c>
      <c r="BQ20" s="24" t="e">
        <f t="shared" si="119"/>
        <v>#REF!</v>
      </c>
      <c r="BR20" s="24" t="e">
        <f t="shared" si="119"/>
        <v>#REF!</v>
      </c>
      <c r="BS20" s="24" t="e">
        <f t="shared" si="119"/>
        <v>#REF!</v>
      </c>
      <c r="BT20" s="24" t="e">
        <f t="shared" si="119"/>
        <v>#REF!</v>
      </c>
      <c r="BU20" s="24" t="e">
        <f t="shared" si="119"/>
        <v>#REF!</v>
      </c>
      <c r="BV20" s="24" t="e">
        <f t="shared" si="119"/>
        <v>#REF!</v>
      </c>
      <c r="BW20" s="24" t="e">
        <f t="shared" si="119"/>
        <v>#REF!</v>
      </c>
      <c r="BX20" s="24" t="e">
        <f t="shared" si="119"/>
        <v>#REF!</v>
      </c>
      <c r="BY20" s="24" t="e">
        <f t="shared" si="119"/>
        <v>#REF!</v>
      </c>
      <c r="BZ20" s="24" t="e">
        <f t="shared" si="119"/>
        <v>#REF!</v>
      </c>
      <c r="CA20" s="24" t="e">
        <f t="shared" si="119"/>
        <v>#REF!</v>
      </c>
      <c r="CB20" s="24" t="e">
        <f t="shared" si="119"/>
        <v>#REF!</v>
      </c>
      <c r="CC20" s="24" t="e">
        <f t="shared" si="119"/>
        <v>#REF!</v>
      </c>
      <c r="CD20" s="24" t="e">
        <f t="shared" si="119"/>
        <v>#REF!</v>
      </c>
      <c r="CE20" s="24" t="e">
        <f t="shared" si="119"/>
        <v>#REF!</v>
      </c>
      <c r="CF20" s="24" t="e">
        <f t="shared" si="119"/>
        <v>#REF!</v>
      </c>
      <c r="CG20" s="24" t="e">
        <f t="shared" si="119"/>
        <v>#REF!</v>
      </c>
      <c r="CH20" s="24" t="e">
        <f t="shared" si="119"/>
        <v>#REF!</v>
      </c>
      <c r="CI20" s="24" t="e">
        <f t="shared" si="119"/>
        <v>#REF!</v>
      </c>
      <c r="CJ20" s="24" t="e">
        <f t="shared" si="119"/>
        <v>#REF!</v>
      </c>
      <c r="CK20" s="24" t="e">
        <f t="shared" si="119"/>
        <v>#REF!</v>
      </c>
      <c r="CL20" s="24" t="e">
        <f t="shared" si="119"/>
        <v>#REF!</v>
      </c>
      <c r="CM20" s="24" t="e">
        <f t="shared" si="119"/>
        <v>#REF!</v>
      </c>
      <c r="CN20" s="24" t="e">
        <f t="shared" si="119"/>
        <v>#REF!</v>
      </c>
      <c r="CO20" s="24" t="e">
        <f t="shared" si="119"/>
        <v>#REF!</v>
      </c>
      <c r="CP20" s="24" t="e">
        <f t="shared" si="119"/>
        <v>#REF!</v>
      </c>
      <c r="CQ20" s="24" t="e">
        <f t="shared" si="119"/>
        <v>#REF!</v>
      </c>
      <c r="CR20" s="24" t="e">
        <f t="shared" si="119"/>
        <v>#REF!</v>
      </c>
      <c r="CS20" s="24" t="e">
        <f t="shared" si="119"/>
        <v>#REF!</v>
      </c>
      <c r="CT20" s="24" t="e">
        <f t="shared" si="119"/>
        <v>#REF!</v>
      </c>
      <c r="CU20" s="24" t="e">
        <f t="shared" si="119"/>
        <v>#REF!</v>
      </c>
      <c r="CV20" s="24" t="e">
        <f t="shared" si="119"/>
        <v>#REF!</v>
      </c>
      <c r="CW20" s="24" t="e">
        <f t="shared" si="119"/>
        <v>#REF!</v>
      </c>
      <c r="CX20" s="24" t="e">
        <f t="shared" si="119"/>
        <v>#REF!</v>
      </c>
      <c r="CY20" s="24" t="e">
        <f t="shared" si="119"/>
        <v>#REF!</v>
      </c>
      <c r="CZ20" s="24" t="e">
        <f t="shared" si="119"/>
        <v>#REF!</v>
      </c>
      <c r="DA20" s="24" t="e">
        <f t="shared" si="119"/>
        <v>#REF!</v>
      </c>
      <c r="DB20" s="24" t="e">
        <f t="shared" si="119"/>
        <v>#REF!</v>
      </c>
      <c r="DC20" s="24" t="e">
        <f t="shared" si="119"/>
        <v>#REF!</v>
      </c>
      <c r="DD20" s="24" t="e">
        <f t="shared" si="119"/>
        <v>#REF!</v>
      </c>
      <c r="DE20" s="24" t="e">
        <f t="shared" si="119"/>
        <v>#REF!</v>
      </c>
      <c r="DF20" s="24" t="e">
        <f t="shared" si="119"/>
        <v>#REF!</v>
      </c>
      <c r="DG20" s="24" t="e">
        <f t="shared" si="119"/>
        <v>#REF!</v>
      </c>
      <c r="DH20" s="24" t="e">
        <f t="shared" si="119"/>
        <v>#REF!</v>
      </c>
      <c r="DI20" s="24" t="e">
        <f t="shared" si="119"/>
        <v>#REF!</v>
      </c>
      <c r="DJ20" s="24" t="e">
        <f t="shared" si="119"/>
        <v>#REF!</v>
      </c>
      <c r="DK20" s="24" t="e">
        <f t="shared" si="119"/>
        <v>#REF!</v>
      </c>
      <c r="DL20" s="24" t="e">
        <f t="shared" si="119"/>
        <v>#REF!</v>
      </c>
      <c r="DM20" s="24" t="e">
        <f t="shared" si="119"/>
        <v>#REF!</v>
      </c>
      <c r="DN20" s="24" t="e">
        <f t="shared" si="119"/>
        <v>#REF!</v>
      </c>
      <c r="DO20" s="24" t="e">
        <f t="shared" si="119"/>
        <v>#REF!</v>
      </c>
      <c r="DP20" s="24" t="e">
        <f t="shared" si="119"/>
        <v>#REF!</v>
      </c>
      <c r="DQ20" s="24" t="e">
        <f t="shared" si="119"/>
        <v>#REF!</v>
      </c>
      <c r="DR20" s="24" t="e">
        <f t="shared" si="119"/>
        <v>#REF!</v>
      </c>
      <c r="DS20" s="24" t="e">
        <f t="shared" si="119"/>
        <v>#REF!</v>
      </c>
      <c r="DT20" s="24" t="e">
        <f t="shared" ref="DT20:FH20" si="120">DT13+DT18</f>
        <v>#REF!</v>
      </c>
      <c r="DU20" s="24" t="e">
        <f t="shared" si="120"/>
        <v>#REF!</v>
      </c>
      <c r="DV20" s="24" t="e">
        <f t="shared" si="120"/>
        <v>#REF!</v>
      </c>
      <c r="DW20" s="24" t="e">
        <f t="shared" si="120"/>
        <v>#REF!</v>
      </c>
      <c r="DX20" s="24" t="e">
        <f t="shared" si="120"/>
        <v>#REF!</v>
      </c>
      <c r="DY20" s="24" t="e">
        <f t="shared" si="120"/>
        <v>#REF!</v>
      </c>
      <c r="DZ20" s="24" t="e">
        <f t="shared" si="120"/>
        <v>#REF!</v>
      </c>
      <c r="EA20" s="24" t="e">
        <f t="shared" si="120"/>
        <v>#REF!</v>
      </c>
      <c r="EB20" s="24" t="e">
        <f t="shared" si="120"/>
        <v>#REF!</v>
      </c>
      <c r="EC20" s="24" t="e">
        <f t="shared" si="120"/>
        <v>#REF!</v>
      </c>
      <c r="ED20" s="24" t="e">
        <f t="shared" si="120"/>
        <v>#REF!</v>
      </c>
      <c r="EE20" s="24" t="e">
        <f t="shared" si="120"/>
        <v>#REF!</v>
      </c>
      <c r="EF20" s="24" t="e">
        <f t="shared" si="120"/>
        <v>#REF!</v>
      </c>
      <c r="EG20" s="24" t="e">
        <f t="shared" si="120"/>
        <v>#REF!</v>
      </c>
      <c r="EH20" s="24" t="e">
        <f t="shared" si="120"/>
        <v>#REF!</v>
      </c>
      <c r="EI20" s="24" t="e">
        <f t="shared" si="120"/>
        <v>#REF!</v>
      </c>
      <c r="EJ20" s="24" t="e">
        <f t="shared" si="120"/>
        <v>#REF!</v>
      </c>
      <c r="EK20" s="24" t="e">
        <f t="shared" si="120"/>
        <v>#REF!</v>
      </c>
      <c r="EL20" s="24" t="e">
        <f t="shared" si="120"/>
        <v>#REF!</v>
      </c>
      <c r="EM20" s="24" t="e">
        <f t="shared" si="120"/>
        <v>#REF!</v>
      </c>
      <c r="EN20" s="24" t="e">
        <f t="shared" si="120"/>
        <v>#REF!</v>
      </c>
      <c r="EO20" s="24" t="e">
        <f t="shared" si="120"/>
        <v>#REF!</v>
      </c>
      <c r="EP20" s="24" t="e">
        <f t="shared" si="120"/>
        <v>#REF!</v>
      </c>
      <c r="EQ20" s="24" t="e">
        <f t="shared" si="120"/>
        <v>#REF!</v>
      </c>
      <c r="ER20" s="24" t="e">
        <f t="shared" si="120"/>
        <v>#REF!</v>
      </c>
      <c r="ES20" s="24" t="e">
        <f t="shared" si="120"/>
        <v>#REF!</v>
      </c>
      <c r="ET20" s="24" t="e">
        <f t="shared" si="120"/>
        <v>#REF!</v>
      </c>
      <c r="EU20" s="24" t="e">
        <f t="shared" si="120"/>
        <v>#REF!</v>
      </c>
      <c r="EV20" s="24" t="e">
        <f t="shared" si="120"/>
        <v>#REF!</v>
      </c>
      <c r="EW20" s="24" t="e">
        <f t="shared" si="120"/>
        <v>#REF!</v>
      </c>
      <c r="EX20" s="24" t="e">
        <f t="shared" si="120"/>
        <v>#REF!</v>
      </c>
      <c r="EY20" s="24" t="e">
        <f t="shared" si="120"/>
        <v>#REF!</v>
      </c>
      <c r="EZ20" s="24" t="e">
        <f t="shared" si="120"/>
        <v>#REF!</v>
      </c>
      <c r="FA20" s="24" t="e">
        <f t="shared" si="120"/>
        <v>#REF!</v>
      </c>
      <c r="FB20" s="24" t="e">
        <f t="shared" si="120"/>
        <v>#REF!</v>
      </c>
      <c r="FC20" s="24" t="e">
        <f t="shared" si="120"/>
        <v>#REF!</v>
      </c>
      <c r="FD20" s="24" t="e">
        <f t="shared" si="120"/>
        <v>#REF!</v>
      </c>
      <c r="FE20" s="24" t="e">
        <f t="shared" si="120"/>
        <v>#REF!</v>
      </c>
      <c r="FF20" s="24" t="e">
        <f t="shared" si="120"/>
        <v>#REF!</v>
      </c>
      <c r="FG20" s="24" t="e">
        <f t="shared" si="120"/>
        <v>#REF!</v>
      </c>
      <c r="FH20" s="24" t="e">
        <f t="shared" si="120"/>
        <v>#REF!</v>
      </c>
    </row>
    <row r="22" spans="1:164" x14ac:dyDescent="0.2">
      <c r="A22" s="1" t="s">
        <v>47</v>
      </c>
    </row>
    <row r="23" spans="1:164" x14ac:dyDescent="0.2">
      <c r="A23" s="3" t="s">
        <v>32</v>
      </c>
      <c r="C23" s="27">
        <f>IF(C20&lt;0,-C20,0)</f>
        <v>0</v>
      </c>
      <c r="D23" s="27">
        <f t="shared" ref="D23:BN23" si="121">IF(D20&lt;0,-D20,0)</f>
        <v>0</v>
      </c>
      <c r="E23" s="27">
        <f t="shared" si="121"/>
        <v>0</v>
      </c>
      <c r="F23" s="27">
        <f t="shared" si="121"/>
        <v>0</v>
      </c>
      <c r="G23" s="27">
        <f t="shared" si="121"/>
        <v>17570</v>
      </c>
      <c r="H23" s="27">
        <f t="shared" si="121"/>
        <v>0</v>
      </c>
      <c r="I23" s="27">
        <f t="shared" si="121"/>
        <v>0</v>
      </c>
      <c r="J23" s="27">
        <f t="shared" si="121"/>
        <v>0</v>
      </c>
      <c r="K23" s="27">
        <f t="shared" si="121"/>
        <v>0</v>
      </c>
      <c r="L23" s="27">
        <f t="shared" si="121"/>
        <v>0</v>
      </c>
      <c r="M23" s="27">
        <f t="shared" si="121"/>
        <v>0</v>
      </c>
      <c r="N23" s="27">
        <f t="shared" si="121"/>
        <v>0</v>
      </c>
      <c r="O23" s="27">
        <f t="shared" si="121"/>
        <v>9785</v>
      </c>
      <c r="P23" s="27">
        <f t="shared" si="121"/>
        <v>0</v>
      </c>
      <c r="Q23" s="27">
        <f t="shared" si="121"/>
        <v>0</v>
      </c>
      <c r="R23" s="27">
        <f t="shared" si="121"/>
        <v>0</v>
      </c>
      <c r="S23" s="27">
        <f t="shared" si="121"/>
        <v>27785</v>
      </c>
      <c r="T23" s="27">
        <f t="shared" si="121"/>
        <v>0</v>
      </c>
      <c r="U23" s="27">
        <f t="shared" si="121"/>
        <v>0</v>
      </c>
      <c r="V23" s="27">
        <f t="shared" si="121"/>
        <v>0</v>
      </c>
      <c r="W23" s="27">
        <f t="shared" si="121"/>
        <v>0</v>
      </c>
      <c r="X23" s="27">
        <f t="shared" si="121"/>
        <v>0</v>
      </c>
      <c r="Y23" s="27">
        <f t="shared" si="121"/>
        <v>0</v>
      </c>
      <c r="Z23" s="27">
        <f t="shared" si="121"/>
        <v>0</v>
      </c>
      <c r="AA23" s="27">
        <f t="shared" si="121"/>
        <v>27785</v>
      </c>
      <c r="AB23" s="27">
        <f t="shared" si="121"/>
        <v>0</v>
      </c>
      <c r="AC23" s="27">
        <f t="shared" si="121"/>
        <v>0</v>
      </c>
      <c r="AD23" s="27">
        <f t="shared" si="121"/>
        <v>0</v>
      </c>
      <c r="AE23" s="27">
        <f t="shared" si="121"/>
        <v>26035</v>
      </c>
      <c r="AF23" s="27">
        <f t="shared" si="121"/>
        <v>0</v>
      </c>
      <c r="AG23" s="27" t="e">
        <f t="shared" si="121"/>
        <v>#REF!</v>
      </c>
      <c r="AH23" s="27" t="e">
        <f t="shared" si="121"/>
        <v>#REF!</v>
      </c>
      <c r="AI23" s="27" t="e">
        <f t="shared" si="121"/>
        <v>#REF!</v>
      </c>
      <c r="AJ23" s="27" t="e">
        <f t="shared" si="121"/>
        <v>#REF!</v>
      </c>
      <c r="AK23" s="27" t="e">
        <f t="shared" si="121"/>
        <v>#REF!</v>
      </c>
      <c r="AL23" s="27" t="e">
        <f t="shared" si="121"/>
        <v>#REF!</v>
      </c>
      <c r="AM23" s="27" t="e">
        <f t="shared" si="121"/>
        <v>#REF!</v>
      </c>
      <c r="AN23" s="27" t="e">
        <f t="shared" si="121"/>
        <v>#REF!</v>
      </c>
      <c r="AO23" s="27" t="e">
        <f t="shared" si="121"/>
        <v>#REF!</v>
      </c>
      <c r="AP23" s="27" t="e">
        <f t="shared" si="121"/>
        <v>#REF!</v>
      </c>
      <c r="AQ23" s="27" t="e">
        <f t="shared" si="121"/>
        <v>#REF!</v>
      </c>
      <c r="AR23" s="27" t="e">
        <f t="shared" si="121"/>
        <v>#REF!</v>
      </c>
      <c r="AS23" s="27" t="e">
        <f t="shared" si="121"/>
        <v>#REF!</v>
      </c>
      <c r="AT23" s="27" t="e">
        <f t="shared" si="121"/>
        <v>#REF!</v>
      </c>
      <c r="AU23" s="27" t="e">
        <f t="shared" si="121"/>
        <v>#REF!</v>
      </c>
      <c r="AV23" s="27" t="e">
        <f t="shared" si="121"/>
        <v>#REF!</v>
      </c>
      <c r="AW23" s="27" t="e">
        <f t="shared" si="121"/>
        <v>#REF!</v>
      </c>
      <c r="AX23" s="27" t="e">
        <f t="shared" si="121"/>
        <v>#REF!</v>
      </c>
      <c r="AY23" s="27" t="e">
        <f t="shared" si="121"/>
        <v>#REF!</v>
      </c>
      <c r="AZ23" s="27" t="e">
        <f t="shared" si="121"/>
        <v>#REF!</v>
      </c>
      <c r="BA23" s="27" t="e">
        <f t="shared" si="121"/>
        <v>#REF!</v>
      </c>
      <c r="BB23" s="27" t="e">
        <f t="shared" si="121"/>
        <v>#REF!</v>
      </c>
      <c r="BC23" s="27" t="e">
        <f t="shared" si="121"/>
        <v>#REF!</v>
      </c>
      <c r="BD23" s="27" t="e">
        <f t="shared" si="121"/>
        <v>#REF!</v>
      </c>
      <c r="BE23" s="27" t="e">
        <f t="shared" si="121"/>
        <v>#REF!</v>
      </c>
      <c r="BF23" s="27" t="e">
        <f t="shared" si="121"/>
        <v>#REF!</v>
      </c>
      <c r="BG23" s="27" t="e">
        <f t="shared" si="121"/>
        <v>#REF!</v>
      </c>
      <c r="BH23" s="27" t="e">
        <f t="shared" si="121"/>
        <v>#REF!</v>
      </c>
      <c r="BI23" s="27" t="e">
        <f t="shared" si="121"/>
        <v>#REF!</v>
      </c>
      <c r="BJ23" s="27" t="e">
        <f t="shared" si="121"/>
        <v>#REF!</v>
      </c>
      <c r="BK23" s="27" t="e">
        <f t="shared" si="121"/>
        <v>#REF!</v>
      </c>
      <c r="BL23" s="27" t="e">
        <f t="shared" si="121"/>
        <v>#REF!</v>
      </c>
      <c r="BM23" s="27" t="e">
        <f t="shared" si="121"/>
        <v>#REF!</v>
      </c>
      <c r="BN23" s="27" t="e">
        <f t="shared" si="121"/>
        <v>#REF!</v>
      </c>
      <c r="BO23" s="27" t="e">
        <f t="shared" ref="BO23:DS23" si="122">IF(BO20&lt;0,-BO20,0)</f>
        <v>#REF!</v>
      </c>
      <c r="BP23" s="27" t="e">
        <f t="shared" si="122"/>
        <v>#REF!</v>
      </c>
      <c r="BQ23" s="27" t="e">
        <f t="shared" si="122"/>
        <v>#REF!</v>
      </c>
      <c r="BR23" s="27" t="e">
        <f t="shared" si="122"/>
        <v>#REF!</v>
      </c>
      <c r="BS23" s="27" t="e">
        <f t="shared" si="122"/>
        <v>#REF!</v>
      </c>
      <c r="BT23" s="27" t="e">
        <f t="shared" si="122"/>
        <v>#REF!</v>
      </c>
      <c r="BU23" s="27" t="e">
        <f t="shared" si="122"/>
        <v>#REF!</v>
      </c>
      <c r="BV23" s="27" t="e">
        <f t="shared" si="122"/>
        <v>#REF!</v>
      </c>
      <c r="BW23" s="27" t="e">
        <f t="shared" si="122"/>
        <v>#REF!</v>
      </c>
      <c r="BX23" s="27" t="e">
        <f t="shared" si="122"/>
        <v>#REF!</v>
      </c>
      <c r="BY23" s="27" t="e">
        <f t="shared" si="122"/>
        <v>#REF!</v>
      </c>
      <c r="BZ23" s="27" t="e">
        <f t="shared" si="122"/>
        <v>#REF!</v>
      </c>
      <c r="CA23" s="27" t="e">
        <f t="shared" si="122"/>
        <v>#REF!</v>
      </c>
      <c r="CB23" s="27" t="e">
        <f t="shared" si="122"/>
        <v>#REF!</v>
      </c>
      <c r="CC23" s="27" t="e">
        <f t="shared" si="122"/>
        <v>#REF!</v>
      </c>
      <c r="CD23" s="27" t="e">
        <f t="shared" si="122"/>
        <v>#REF!</v>
      </c>
      <c r="CE23" s="27" t="e">
        <f t="shared" si="122"/>
        <v>#REF!</v>
      </c>
      <c r="CF23" s="27" t="e">
        <f t="shared" si="122"/>
        <v>#REF!</v>
      </c>
      <c r="CG23" s="27" t="e">
        <f t="shared" si="122"/>
        <v>#REF!</v>
      </c>
      <c r="CH23" s="27" t="e">
        <f t="shared" si="122"/>
        <v>#REF!</v>
      </c>
      <c r="CI23" s="27" t="e">
        <f t="shared" si="122"/>
        <v>#REF!</v>
      </c>
      <c r="CJ23" s="27" t="e">
        <f t="shared" si="122"/>
        <v>#REF!</v>
      </c>
      <c r="CK23" s="27" t="e">
        <f t="shared" si="122"/>
        <v>#REF!</v>
      </c>
      <c r="CL23" s="27" t="e">
        <f t="shared" si="122"/>
        <v>#REF!</v>
      </c>
      <c r="CM23" s="27" t="e">
        <f t="shared" si="122"/>
        <v>#REF!</v>
      </c>
      <c r="CN23" s="27" t="e">
        <f t="shared" si="122"/>
        <v>#REF!</v>
      </c>
      <c r="CO23" s="27" t="e">
        <f t="shared" si="122"/>
        <v>#REF!</v>
      </c>
      <c r="CP23" s="27" t="e">
        <f t="shared" si="122"/>
        <v>#REF!</v>
      </c>
      <c r="CQ23" s="27" t="e">
        <f t="shared" si="122"/>
        <v>#REF!</v>
      </c>
      <c r="CR23" s="27" t="e">
        <f t="shared" si="122"/>
        <v>#REF!</v>
      </c>
      <c r="CS23" s="27" t="e">
        <f t="shared" si="122"/>
        <v>#REF!</v>
      </c>
      <c r="CT23" s="27" t="e">
        <f t="shared" si="122"/>
        <v>#REF!</v>
      </c>
      <c r="CU23" s="27" t="e">
        <f t="shared" si="122"/>
        <v>#REF!</v>
      </c>
      <c r="CV23" s="27" t="e">
        <f t="shared" si="122"/>
        <v>#REF!</v>
      </c>
      <c r="CW23" s="27" t="e">
        <f t="shared" si="122"/>
        <v>#REF!</v>
      </c>
      <c r="CX23" s="27" t="e">
        <f t="shared" si="122"/>
        <v>#REF!</v>
      </c>
      <c r="CY23" s="27" t="e">
        <f t="shared" si="122"/>
        <v>#REF!</v>
      </c>
      <c r="CZ23" s="27" t="e">
        <f t="shared" si="122"/>
        <v>#REF!</v>
      </c>
      <c r="DA23" s="27" t="e">
        <f t="shared" si="122"/>
        <v>#REF!</v>
      </c>
      <c r="DB23" s="27" t="e">
        <f t="shared" si="122"/>
        <v>#REF!</v>
      </c>
      <c r="DC23" s="27" t="e">
        <f t="shared" si="122"/>
        <v>#REF!</v>
      </c>
      <c r="DD23" s="27" t="e">
        <f t="shared" si="122"/>
        <v>#REF!</v>
      </c>
      <c r="DE23" s="27" t="e">
        <f t="shared" si="122"/>
        <v>#REF!</v>
      </c>
      <c r="DF23" s="27" t="e">
        <f t="shared" si="122"/>
        <v>#REF!</v>
      </c>
      <c r="DG23" s="27" t="e">
        <f t="shared" si="122"/>
        <v>#REF!</v>
      </c>
      <c r="DH23" s="27" t="e">
        <f t="shared" si="122"/>
        <v>#REF!</v>
      </c>
      <c r="DI23" s="27" t="e">
        <f t="shared" si="122"/>
        <v>#REF!</v>
      </c>
      <c r="DJ23" s="27" t="e">
        <f t="shared" si="122"/>
        <v>#REF!</v>
      </c>
      <c r="DK23" s="27" t="e">
        <f t="shared" si="122"/>
        <v>#REF!</v>
      </c>
      <c r="DL23" s="27" t="e">
        <f t="shared" si="122"/>
        <v>#REF!</v>
      </c>
      <c r="DM23" s="27" t="e">
        <f t="shared" si="122"/>
        <v>#REF!</v>
      </c>
      <c r="DN23" s="27" t="e">
        <f t="shared" si="122"/>
        <v>#REF!</v>
      </c>
      <c r="DO23" s="27" t="e">
        <f t="shared" si="122"/>
        <v>#REF!</v>
      </c>
      <c r="DP23" s="27" t="e">
        <f t="shared" si="122"/>
        <v>#REF!</v>
      </c>
      <c r="DQ23" s="27" t="e">
        <f t="shared" si="122"/>
        <v>#REF!</v>
      </c>
      <c r="DR23" s="27" t="e">
        <f t="shared" si="122"/>
        <v>#REF!</v>
      </c>
      <c r="DS23" s="27" t="e">
        <f t="shared" si="122"/>
        <v>#REF!</v>
      </c>
      <c r="DT23" s="27" t="e">
        <f t="shared" ref="DT23:FH23" si="123">IF(DT20&lt;0,-DT20,0)</f>
        <v>#REF!</v>
      </c>
      <c r="DU23" s="27" t="e">
        <f t="shared" si="123"/>
        <v>#REF!</v>
      </c>
      <c r="DV23" s="27" t="e">
        <f t="shared" si="123"/>
        <v>#REF!</v>
      </c>
      <c r="DW23" s="27" t="e">
        <f t="shared" si="123"/>
        <v>#REF!</v>
      </c>
      <c r="DX23" s="27" t="e">
        <f t="shared" si="123"/>
        <v>#REF!</v>
      </c>
      <c r="DY23" s="27" t="e">
        <f t="shared" si="123"/>
        <v>#REF!</v>
      </c>
      <c r="DZ23" s="27" t="e">
        <f t="shared" si="123"/>
        <v>#REF!</v>
      </c>
      <c r="EA23" s="27" t="e">
        <f t="shared" si="123"/>
        <v>#REF!</v>
      </c>
      <c r="EB23" s="27" t="e">
        <f t="shared" si="123"/>
        <v>#REF!</v>
      </c>
      <c r="EC23" s="27" t="e">
        <f t="shared" si="123"/>
        <v>#REF!</v>
      </c>
      <c r="ED23" s="27" t="e">
        <f t="shared" si="123"/>
        <v>#REF!</v>
      </c>
      <c r="EE23" s="27" t="e">
        <f t="shared" si="123"/>
        <v>#REF!</v>
      </c>
      <c r="EF23" s="27" t="e">
        <f t="shared" si="123"/>
        <v>#REF!</v>
      </c>
      <c r="EG23" s="27" t="e">
        <f t="shared" si="123"/>
        <v>#REF!</v>
      </c>
      <c r="EH23" s="27" t="e">
        <f t="shared" si="123"/>
        <v>#REF!</v>
      </c>
      <c r="EI23" s="27" t="e">
        <f t="shared" si="123"/>
        <v>#REF!</v>
      </c>
      <c r="EJ23" s="27" t="e">
        <f t="shared" si="123"/>
        <v>#REF!</v>
      </c>
      <c r="EK23" s="27" t="e">
        <f t="shared" si="123"/>
        <v>#REF!</v>
      </c>
      <c r="EL23" s="27" t="e">
        <f t="shared" si="123"/>
        <v>#REF!</v>
      </c>
      <c r="EM23" s="27" t="e">
        <f t="shared" si="123"/>
        <v>#REF!</v>
      </c>
      <c r="EN23" s="27" t="e">
        <f t="shared" si="123"/>
        <v>#REF!</v>
      </c>
      <c r="EO23" s="27" t="e">
        <f t="shared" si="123"/>
        <v>#REF!</v>
      </c>
      <c r="EP23" s="27" t="e">
        <f t="shared" si="123"/>
        <v>#REF!</v>
      </c>
      <c r="EQ23" s="27" t="e">
        <f t="shared" si="123"/>
        <v>#REF!</v>
      </c>
      <c r="ER23" s="27" t="e">
        <f t="shared" si="123"/>
        <v>#REF!</v>
      </c>
      <c r="ES23" s="27" t="e">
        <f t="shared" si="123"/>
        <v>#REF!</v>
      </c>
      <c r="ET23" s="27" t="e">
        <f t="shared" si="123"/>
        <v>#REF!</v>
      </c>
      <c r="EU23" s="27" t="e">
        <f t="shared" si="123"/>
        <v>#REF!</v>
      </c>
      <c r="EV23" s="27" t="e">
        <f t="shared" si="123"/>
        <v>#REF!</v>
      </c>
      <c r="EW23" s="27" t="e">
        <f t="shared" si="123"/>
        <v>#REF!</v>
      </c>
      <c r="EX23" s="27" t="e">
        <f t="shared" si="123"/>
        <v>#REF!</v>
      </c>
      <c r="EY23" s="27" t="e">
        <f t="shared" si="123"/>
        <v>#REF!</v>
      </c>
      <c r="EZ23" s="27" t="e">
        <f t="shared" si="123"/>
        <v>#REF!</v>
      </c>
      <c r="FA23" s="27" t="e">
        <f t="shared" si="123"/>
        <v>#REF!</v>
      </c>
      <c r="FB23" s="27" t="e">
        <f t="shared" si="123"/>
        <v>#REF!</v>
      </c>
      <c r="FC23" s="27" t="e">
        <f t="shared" si="123"/>
        <v>#REF!</v>
      </c>
      <c r="FD23" s="27" t="e">
        <f t="shared" si="123"/>
        <v>#REF!</v>
      </c>
      <c r="FE23" s="27" t="e">
        <f t="shared" si="123"/>
        <v>#REF!</v>
      </c>
      <c r="FF23" s="27" t="e">
        <f t="shared" si="123"/>
        <v>#REF!</v>
      </c>
      <c r="FG23" s="27" t="e">
        <f t="shared" si="123"/>
        <v>#REF!</v>
      </c>
      <c r="FH23" s="27" t="e">
        <f t="shared" si="123"/>
        <v>#REF!</v>
      </c>
    </row>
    <row r="24" spans="1:164" x14ac:dyDescent="0.2">
      <c r="A24" t="s">
        <v>34</v>
      </c>
      <c r="C24" s="27">
        <f>IF(AND(B25&gt;0, C20&gt;0),C20,0)</f>
        <v>0</v>
      </c>
      <c r="D24" s="27">
        <f t="shared" ref="D24:BN24" si="124">IF(AND(C25&gt;0, D20&gt;0),D20,0)</f>
        <v>0</v>
      </c>
      <c r="E24" s="27">
        <f t="shared" si="124"/>
        <v>0</v>
      </c>
      <c r="F24" s="27">
        <f t="shared" si="124"/>
        <v>0</v>
      </c>
      <c r="G24" s="27">
        <f t="shared" si="124"/>
        <v>0</v>
      </c>
      <c r="H24" s="27">
        <f t="shared" si="124"/>
        <v>0</v>
      </c>
      <c r="I24" s="27">
        <f t="shared" si="124"/>
        <v>0</v>
      </c>
      <c r="J24" s="27">
        <f t="shared" si="124"/>
        <v>0</v>
      </c>
      <c r="K24" s="27">
        <f t="shared" si="124"/>
        <v>0</v>
      </c>
      <c r="L24" s="27">
        <f t="shared" si="124"/>
        <v>0</v>
      </c>
      <c r="M24" s="27">
        <f t="shared" si="124"/>
        <v>0</v>
      </c>
      <c r="N24" s="27">
        <f t="shared" si="124"/>
        <v>0</v>
      </c>
      <c r="O24" s="27">
        <f t="shared" si="124"/>
        <v>0</v>
      </c>
      <c r="P24" s="27">
        <f t="shared" si="124"/>
        <v>0</v>
      </c>
      <c r="Q24" s="27">
        <f t="shared" si="124"/>
        <v>0</v>
      </c>
      <c r="R24" s="27">
        <f t="shared" si="124"/>
        <v>0</v>
      </c>
      <c r="S24" s="27">
        <f t="shared" si="124"/>
        <v>0</v>
      </c>
      <c r="T24" s="27">
        <f t="shared" si="124"/>
        <v>0</v>
      </c>
      <c r="U24" s="27">
        <f t="shared" si="124"/>
        <v>0</v>
      </c>
      <c r="V24" s="27">
        <f t="shared" si="124"/>
        <v>0</v>
      </c>
      <c r="W24" s="27">
        <f t="shared" si="124"/>
        <v>0</v>
      </c>
      <c r="X24" s="27">
        <f t="shared" si="124"/>
        <v>0</v>
      </c>
      <c r="Y24" s="27">
        <f t="shared" si="124"/>
        <v>0</v>
      </c>
      <c r="Z24" s="27">
        <f t="shared" si="124"/>
        <v>0</v>
      </c>
      <c r="AA24" s="27">
        <f t="shared" si="124"/>
        <v>0</v>
      </c>
      <c r="AB24" s="27">
        <f t="shared" si="124"/>
        <v>1750</v>
      </c>
      <c r="AC24" s="27">
        <f t="shared" si="124"/>
        <v>1750</v>
      </c>
      <c r="AD24" s="27">
        <f t="shared" si="124"/>
        <v>1750</v>
      </c>
      <c r="AE24" s="27">
        <f t="shared" si="124"/>
        <v>0</v>
      </c>
      <c r="AF24" s="27">
        <f t="shared" si="124"/>
        <v>1750</v>
      </c>
      <c r="AG24" s="27" t="e">
        <f t="shared" si="124"/>
        <v>#REF!</v>
      </c>
      <c r="AH24" s="27" t="e">
        <f t="shared" si="124"/>
        <v>#REF!</v>
      </c>
      <c r="AI24" s="27" t="e">
        <f t="shared" si="124"/>
        <v>#REF!</v>
      </c>
      <c r="AJ24" s="27" t="e">
        <f t="shared" si="124"/>
        <v>#REF!</v>
      </c>
      <c r="AK24" s="27" t="e">
        <f t="shared" si="124"/>
        <v>#REF!</v>
      </c>
      <c r="AL24" s="27" t="e">
        <f t="shared" si="124"/>
        <v>#REF!</v>
      </c>
      <c r="AM24" s="27" t="e">
        <f t="shared" si="124"/>
        <v>#REF!</v>
      </c>
      <c r="AN24" s="27" t="e">
        <f t="shared" si="124"/>
        <v>#REF!</v>
      </c>
      <c r="AO24" s="27" t="e">
        <f t="shared" si="124"/>
        <v>#REF!</v>
      </c>
      <c r="AP24" s="27" t="e">
        <f t="shared" si="124"/>
        <v>#REF!</v>
      </c>
      <c r="AQ24" s="27" t="e">
        <f t="shared" si="124"/>
        <v>#REF!</v>
      </c>
      <c r="AR24" s="27" t="e">
        <f t="shared" si="124"/>
        <v>#REF!</v>
      </c>
      <c r="AS24" s="27" t="e">
        <f t="shared" si="124"/>
        <v>#REF!</v>
      </c>
      <c r="AT24" s="27" t="e">
        <f t="shared" si="124"/>
        <v>#REF!</v>
      </c>
      <c r="AU24" s="27" t="e">
        <f t="shared" si="124"/>
        <v>#REF!</v>
      </c>
      <c r="AV24" s="27" t="e">
        <f t="shared" si="124"/>
        <v>#REF!</v>
      </c>
      <c r="AW24" s="27" t="e">
        <f t="shared" si="124"/>
        <v>#REF!</v>
      </c>
      <c r="AX24" s="27" t="e">
        <f t="shared" si="124"/>
        <v>#REF!</v>
      </c>
      <c r="AY24" s="27" t="e">
        <f t="shared" si="124"/>
        <v>#REF!</v>
      </c>
      <c r="AZ24" s="27" t="e">
        <f t="shared" si="124"/>
        <v>#REF!</v>
      </c>
      <c r="BA24" s="27" t="e">
        <f t="shared" si="124"/>
        <v>#REF!</v>
      </c>
      <c r="BB24" s="27" t="e">
        <f t="shared" si="124"/>
        <v>#REF!</v>
      </c>
      <c r="BC24" s="27" t="e">
        <f t="shared" si="124"/>
        <v>#REF!</v>
      </c>
      <c r="BD24" s="27" t="e">
        <f t="shared" si="124"/>
        <v>#REF!</v>
      </c>
      <c r="BE24" s="27" t="e">
        <f t="shared" si="124"/>
        <v>#REF!</v>
      </c>
      <c r="BF24" s="27" t="e">
        <f>IF(AND(BE25&gt;0, BF20&gt;0),BF20,0)</f>
        <v>#REF!</v>
      </c>
      <c r="BG24" s="27" t="e">
        <f t="shared" si="124"/>
        <v>#REF!</v>
      </c>
      <c r="BH24" s="27" t="e">
        <f t="shared" si="124"/>
        <v>#REF!</v>
      </c>
      <c r="BI24" s="27" t="e">
        <f t="shared" si="124"/>
        <v>#REF!</v>
      </c>
      <c r="BJ24" s="27" t="e">
        <f t="shared" si="124"/>
        <v>#REF!</v>
      </c>
      <c r="BK24" s="27" t="e">
        <f t="shared" si="124"/>
        <v>#REF!</v>
      </c>
      <c r="BL24" s="27" t="e">
        <f t="shared" si="124"/>
        <v>#REF!</v>
      </c>
      <c r="BM24" s="27" t="e">
        <f t="shared" si="124"/>
        <v>#REF!</v>
      </c>
      <c r="BN24" s="27" t="e">
        <f t="shared" si="124"/>
        <v>#REF!</v>
      </c>
      <c r="BO24" s="27" t="e">
        <f t="shared" ref="BO24" si="125">IF(AND(BN25&gt;0, BO20&gt;0),BO20,0)</f>
        <v>#REF!</v>
      </c>
      <c r="BP24" s="27" t="e">
        <f t="shared" ref="BP24" si="126">IF(AND(BO25&gt;0, BP20&gt;0),BP20,0)</f>
        <v>#REF!</v>
      </c>
      <c r="BQ24" s="27" t="e">
        <f t="shared" ref="BQ24" si="127">IF(AND(BP25&gt;0, BQ20&gt;0),BQ20,0)</f>
        <v>#REF!</v>
      </c>
      <c r="BR24" s="27" t="e">
        <f t="shared" ref="BR24" si="128">IF(AND(BQ25&gt;0, BR20&gt;0),BR20,0)</f>
        <v>#REF!</v>
      </c>
      <c r="BS24" s="27" t="e">
        <f t="shared" ref="BS24" si="129">IF(AND(BR25&gt;0, BS20&gt;0),BS20,0)</f>
        <v>#REF!</v>
      </c>
      <c r="BT24" s="27" t="e">
        <f t="shared" ref="BT24" si="130">IF(AND(BS25&gt;0, BT20&gt;0),BT20,0)</f>
        <v>#REF!</v>
      </c>
      <c r="BU24" s="27" t="e">
        <f t="shared" ref="BU24" si="131">IF(AND(BT25&gt;0, BU20&gt;0),BU20,0)</f>
        <v>#REF!</v>
      </c>
      <c r="BV24" s="27" t="e">
        <f t="shared" ref="BV24" si="132">IF(AND(BU25&gt;0, BV20&gt;0),BV20,0)</f>
        <v>#REF!</v>
      </c>
      <c r="BW24" s="27" t="e">
        <f t="shared" ref="BW24" si="133">IF(AND(BV25&gt;0, BW20&gt;0),BW20,0)</f>
        <v>#REF!</v>
      </c>
      <c r="BX24" s="27" t="e">
        <f t="shared" ref="BX24" si="134">IF(AND(BW25&gt;0, BX20&gt;0),BX20,0)</f>
        <v>#REF!</v>
      </c>
      <c r="BY24" s="27" t="e">
        <f t="shared" ref="BY24" si="135">IF(AND(BX25&gt;0, BY20&gt;0),BY20,0)</f>
        <v>#REF!</v>
      </c>
      <c r="BZ24" s="27" t="e">
        <f t="shared" ref="BZ24" si="136">IF(AND(BY25&gt;0, BZ20&gt;0),BZ20,0)</f>
        <v>#REF!</v>
      </c>
      <c r="CA24" s="27" t="e">
        <f t="shared" ref="CA24" si="137">IF(AND(BZ25&gt;0, CA20&gt;0),CA20,0)</f>
        <v>#REF!</v>
      </c>
      <c r="CB24" s="27" t="e">
        <f t="shared" ref="CB24" si="138">IF(AND(CA25&gt;0, CB20&gt;0),CB20,0)</f>
        <v>#REF!</v>
      </c>
      <c r="CC24" s="27" t="e">
        <f t="shared" ref="CC24" si="139">IF(AND(CB25&gt;0, CC20&gt;0),CC20,0)</f>
        <v>#REF!</v>
      </c>
      <c r="CD24" s="27" t="e">
        <f t="shared" ref="CD24" si="140">IF(AND(CC25&gt;0, CD20&gt;0),CD20,0)</f>
        <v>#REF!</v>
      </c>
      <c r="CE24" s="27" t="e">
        <f t="shared" ref="CE24" si="141">IF(AND(CD25&gt;0, CE20&gt;0),CE20,0)</f>
        <v>#REF!</v>
      </c>
      <c r="CF24" s="27" t="e">
        <f t="shared" ref="CF24" si="142">IF(AND(CE25&gt;0, CF20&gt;0),CF20,0)</f>
        <v>#REF!</v>
      </c>
      <c r="CG24" s="27" t="e">
        <f t="shared" ref="CG24" si="143">IF(AND(CF25&gt;0, CG20&gt;0),CG20,0)</f>
        <v>#REF!</v>
      </c>
      <c r="CH24" s="27" t="e">
        <f t="shared" ref="CH24" si="144">IF(AND(CG25&gt;0, CH20&gt;0),CH20,0)</f>
        <v>#REF!</v>
      </c>
      <c r="CI24" s="27" t="e">
        <f t="shared" ref="CI24" si="145">IF(AND(CH25&gt;0, CI20&gt;0),CI20,0)</f>
        <v>#REF!</v>
      </c>
      <c r="CJ24" s="27" t="e">
        <f t="shared" ref="CJ24" si="146">IF(AND(CI25&gt;0, CJ20&gt;0),CJ20,0)</f>
        <v>#REF!</v>
      </c>
      <c r="CK24" s="27" t="e">
        <f t="shared" ref="CK24" si="147">IF(AND(CJ25&gt;0, CK20&gt;0),CK20,0)</f>
        <v>#REF!</v>
      </c>
      <c r="CL24" s="27" t="e">
        <f t="shared" ref="CL24" si="148">IF(AND(CK25&gt;0, CL20&gt;0),CL20,0)</f>
        <v>#REF!</v>
      </c>
      <c r="CM24" s="27" t="e">
        <f t="shared" ref="CM24" si="149">IF(AND(CL25&gt;0, CM20&gt;0),CM20,0)</f>
        <v>#REF!</v>
      </c>
      <c r="CN24" s="27" t="e">
        <f t="shared" ref="CN24" si="150">IF(AND(CM25&gt;0, CN20&gt;0),CN20,0)</f>
        <v>#REF!</v>
      </c>
      <c r="CO24" s="27" t="e">
        <f t="shared" ref="CO24" si="151">IF(AND(CN25&gt;0, CO20&gt;0),CO20,0)</f>
        <v>#REF!</v>
      </c>
      <c r="CP24" s="27" t="e">
        <f t="shared" ref="CP24" si="152">IF(AND(CO25&gt;0, CP20&gt;0),CP20,0)</f>
        <v>#REF!</v>
      </c>
      <c r="CQ24" s="27" t="e">
        <f t="shared" ref="CQ24" si="153">IF(AND(CP25&gt;0, CQ20&gt;0),CQ20,0)</f>
        <v>#REF!</v>
      </c>
      <c r="CR24" s="27" t="e">
        <f t="shared" ref="CR24" si="154">IF(AND(CQ25&gt;0, CR20&gt;0),CR20,0)</f>
        <v>#REF!</v>
      </c>
      <c r="CS24" s="27" t="e">
        <f t="shared" ref="CS24" si="155">IF(AND(CR25&gt;0, CS20&gt;0),CS20,0)</f>
        <v>#REF!</v>
      </c>
      <c r="CT24" s="27" t="e">
        <f t="shared" ref="CT24" si="156">IF(AND(CS25&gt;0, CT20&gt;0),CT20,0)</f>
        <v>#REF!</v>
      </c>
      <c r="CU24" s="27" t="e">
        <f t="shared" ref="CU24" si="157">IF(AND(CT25&gt;0, CU20&gt;0),CU20,0)</f>
        <v>#REF!</v>
      </c>
      <c r="CV24" s="27" t="e">
        <f t="shared" ref="CV24" si="158">IF(AND(CU25&gt;0, CV20&gt;0),CV20,0)</f>
        <v>#REF!</v>
      </c>
      <c r="CW24" s="27" t="e">
        <f t="shared" ref="CW24" si="159">IF(AND(CV25&gt;0, CW20&gt;0),CW20,0)</f>
        <v>#REF!</v>
      </c>
      <c r="CX24" s="27" t="e">
        <f t="shared" ref="CX24" si="160">IF(AND(CW25&gt;0, CX20&gt;0),CX20,0)</f>
        <v>#REF!</v>
      </c>
      <c r="CY24" s="27" t="e">
        <f t="shared" ref="CY24" si="161">IF(AND(CX25&gt;0, CY20&gt;0),CY20,0)</f>
        <v>#REF!</v>
      </c>
      <c r="CZ24" s="27" t="e">
        <f t="shared" ref="CZ24" si="162">IF(AND(CY25&gt;0, CZ20&gt;0),CZ20,0)</f>
        <v>#REF!</v>
      </c>
      <c r="DA24" s="27" t="e">
        <f t="shared" ref="DA24" si="163">IF(AND(CZ25&gt;0, DA20&gt;0),DA20,0)</f>
        <v>#REF!</v>
      </c>
      <c r="DB24" s="27" t="e">
        <f t="shared" ref="DB24" si="164">IF(AND(DA25&gt;0, DB20&gt;0),DB20,0)</f>
        <v>#REF!</v>
      </c>
      <c r="DC24" s="27" t="e">
        <f t="shared" ref="DC24" si="165">IF(AND(DB25&gt;0, DC20&gt;0),DC20,0)</f>
        <v>#REF!</v>
      </c>
      <c r="DD24" s="27" t="e">
        <f t="shared" ref="DD24" si="166">IF(AND(DC25&gt;0, DD20&gt;0),DD20,0)</f>
        <v>#REF!</v>
      </c>
      <c r="DE24" s="27" t="e">
        <f t="shared" ref="DE24" si="167">IF(AND(DD25&gt;0, DE20&gt;0),DE20,0)</f>
        <v>#REF!</v>
      </c>
      <c r="DF24" s="27" t="e">
        <f t="shared" ref="DF24" si="168">IF(AND(DE25&gt;0, DF20&gt;0),DF20,0)</f>
        <v>#REF!</v>
      </c>
      <c r="DG24" s="27" t="e">
        <f t="shared" ref="DG24" si="169">IF(AND(DF25&gt;0, DG20&gt;0),DG20,0)</f>
        <v>#REF!</v>
      </c>
      <c r="DH24" s="27" t="e">
        <f t="shared" ref="DH24" si="170">IF(AND(DG25&gt;0, DH20&gt;0),DH20,0)</f>
        <v>#REF!</v>
      </c>
      <c r="DI24" s="27" t="e">
        <f t="shared" ref="DI24" si="171">IF(AND(DH25&gt;0, DI20&gt;0),DI20,0)</f>
        <v>#REF!</v>
      </c>
      <c r="DJ24" s="27" t="e">
        <f t="shared" ref="DJ24" si="172">IF(AND(DI25&gt;0, DJ20&gt;0),DJ20,0)</f>
        <v>#REF!</v>
      </c>
      <c r="DK24" s="27" t="e">
        <f t="shared" ref="DK24" si="173">IF(AND(DJ25&gt;0, DK20&gt;0),DK20,0)</f>
        <v>#REF!</v>
      </c>
      <c r="DL24" s="27" t="e">
        <f t="shared" ref="DL24" si="174">IF(AND(DK25&gt;0, DL20&gt;0),DL20,0)</f>
        <v>#REF!</v>
      </c>
      <c r="DM24" s="27" t="e">
        <f t="shared" ref="DM24" si="175">IF(AND(DL25&gt;0, DM20&gt;0),DM20,0)</f>
        <v>#REF!</v>
      </c>
      <c r="DN24" s="27" t="e">
        <f t="shared" ref="DN24" si="176">IF(AND(DM25&gt;0, DN20&gt;0),DN20,0)</f>
        <v>#REF!</v>
      </c>
      <c r="DO24" s="27" t="e">
        <f t="shared" ref="DO24" si="177">IF(AND(DN25&gt;0, DO20&gt;0),DO20,0)</f>
        <v>#REF!</v>
      </c>
      <c r="DP24" s="27" t="e">
        <f t="shared" ref="DP24" si="178">IF(AND(DO25&gt;0, DP20&gt;0),DP20,0)</f>
        <v>#REF!</v>
      </c>
      <c r="DQ24" s="27" t="e">
        <f t="shared" ref="DQ24" si="179">IF(AND(DP25&gt;0, DQ20&gt;0),DQ20,0)</f>
        <v>#REF!</v>
      </c>
      <c r="DR24" s="27" t="e">
        <f t="shared" ref="DR24" si="180">IF(AND(DQ25&gt;0, DR20&gt;0),DR20,0)</f>
        <v>#REF!</v>
      </c>
      <c r="DS24" s="27" t="e">
        <f t="shared" ref="DS24" si="181">IF(AND(DR25&gt;0, DS20&gt;0),DS20,0)</f>
        <v>#REF!</v>
      </c>
      <c r="DT24" s="27" t="e">
        <f t="shared" ref="DT24" si="182">IF(AND(DS25&gt;0, DT20&gt;0),DT20,0)</f>
        <v>#REF!</v>
      </c>
      <c r="DU24" s="27" t="e">
        <f t="shared" ref="DU24" si="183">IF(AND(DT25&gt;0, DU20&gt;0),DU20,0)</f>
        <v>#REF!</v>
      </c>
      <c r="DV24" s="27" t="e">
        <f t="shared" ref="DV24" si="184">IF(AND(DU25&gt;0, DV20&gt;0),DV20,0)</f>
        <v>#REF!</v>
      </c>
      <c r="DW24" s="27" t="e">
        <f t="shared" ref="DW24" si="185">IF(AND(DV25&gt;0, DW20&gt;0),DW20,0)</f>
        <v>#REF!</v>
      </c>
      <c r="DX24" s="27" t="e">
        <f t="shared" ref="DX24" si="186">IF(AND(DW25&gt;0, DX20&gt;0),DX20,0)</f>
        <v>#REF!</v>
      </c>
      <c r="DY24" s="27" t="e">
        <f t="shared" ref="DY24" si="187">IF(AND(DX25&gt;0, DY20&gt;0),DY20,0)</f>
        <v>#REF!</v>
      </c>
      <c r="DZ24" s="27" t="e">
        <f t="shared" ref="DZ24" si="188">IF(AND(DY25&gt;0, DZ20&gt;0),DZ20,0)</f>
        <v>#REF!</v>
      </c>
      <c r="EA24" s="27" t="e">
        <f t="shared" ref="EA24" si="189">IF(AND(DZ25&gt;0, EA20&gt;0),EA20,0)</f>
        <v>#REF!</v>
      </c>
      <c r="EB24" s="27" t="e">
        <f t="shared" ref="EB24" si="190">IF(AND(EA25&gt;0, EB20&gt;0),EB20,0)</f>
        <v>#REF!</v>
      </c>
      <c r="EC24" s="27" t="e">
        <f t="shared" ref="EC24" si="191">IF(AND(EB25&gt;0, EC20&gt;0),EC20,0)</f>
        <v>#REF!</v>
      </c>
      <c r="ED24" s="27" t="e">
        <f t="shared" ref="ED24" si="192">IF(AND(EC25&gt;0, ED20&gt;0),ED20,0)</f>
        <v>#REF!</v>
      </c>
      <c r="EE24" s="27" t="e">
        <f t="shared" ref="EE24" si="193">IF(AND(ED25&gt;0, EE20&gt;0),EE20,0)</f>
        <v>#REF!</v>
      </c>
      <c r="EF24" s="27" t="e">
        <f t="shared" ref="EF24" si="194">IF(AND(EE25&gt;0, EF20&gt;0),EF20,0)</f>
        <v>#REF!</v>
      </c>
      <c r="EG24" s="27" t="e">
        <f t="shared" ref="EG24" si="195">IF(AND(EF25&gt;0, EG20&gt;0),EG20,0)</f>
        <v>#REF!</v>
      </c>
      <c r="EH24" s="27" t="e">
        <f t="shared" ref="EH24" si="196">IF(AND(EG25&gt;0, EH20&gt;0),EH20,0)</f>
        <v>#REF!</v>
      </c>
      <c r="EI24" s="27" t="e">
        <f t="shared" ref="EI24" si="197">IF(AND(EH25&gt;0, EI20&gt;0),EI20,0)</f>
        <v>#REF!</v>
      </c>
      <c r="EJ24" s="27" t="e">
        <f t="shared" ref="EJ24" si="198">IF(AND(EI25&gt;0, EJ20&gt;0),EJ20,0)</f>
        <v>#REF!</v>
      </c>
      <c r="EK24" s="27" t="e">
        <f t="shared" ref="EK24" si="199">IF(AND(EJ25&gt;0, EK20&gt;0),EK20,0)</f>
        <v>#REF!</v>
      </c>
      <c r="EL24" s="27" t="e">
        <f t="shared" ref="EL24" si="200">IF(AND(EK25&gt;0, EL20&gt;0),EL20,0)</f>
        <v>#REF!</v>
      </c>
      <c r="EM24" s="27" t="e">
        <f t="shared" ref="EM24" si="201">IF(AND(EL25&gt;0, EM20&gt;0),EM20,0)</f>
        <v>#REF!</v>
      </c>
      <c r="EN24" s="27" t="e">
        <f t="shared" ref="EN24" si="202">IF(AND(EM25&gt;0, EN20&gt;0),EN20,0)</f>
        <v>#REF!</v>
      </c>
      <c r="EO24" s="27" t="e">
        <f t="shared" ref="EO24" si="203">IF(AND(EN25&gt;0, EO20&gt;0),EO20,0)</f>
        <v>#REF!</v>
      </c>
      <c r="EP24" s="27" t="e">
        <f t="shared" ref="EP24" si="204">IF(AND(EO25&gt;0, EP20&gt;0),EP20,0)</f>
        <v>#REF!</v>
      </c>
      <c r="EQ24" s="27" t="e">
        <f t="shared" ref="EQ24" si="205">IF(AND(EP25&gt;0, EQ20&gt;0),EQ20,0)</f>
        <v>#REF!</v>
      </c>
      <c r="ER24" s="27" t="e">
        <f t="shared" ref="ER24" si="206">IF(AND(EQ25&gt;0, ER20&gt;0),ER20,0)</f>
        <v>#REF!</v>
      </c>
      <c r="ES24" s="27" t="e">
        <f t="shared" ref="ES24" si="207">IF(AND(ER25&gt;0, ES20&gt;0),ES20,0)</f>
        <v>#REF!</v>
      </c>
      <c r="ET24" s="27" t="e">
        <f t="shared" ref="ET24" si="208">IF(AND(ES25&gt;0, ET20&gt;0),ET20,0)</f>
        <v>#REF!</v>
      </c>
      <c r="EU24" s="27" t="e">
        <f t="shared" ref="EU24" si="209">IF(AND(ET25&gt;0, EU20&gt;0),EU20,0)</f>
        <v>#REF!</v>
      </c>
      <c r="EV24" s="27" t="e">
        <f t="shared" ref="EV24" si="210">IF(AND(EU25&gt;0, EV20&gt;0),EV20,0)</f>
        <v>#REF!</v>
      </c>
      <c r="EW24" s="27" t="e">
        <f t="shared" ref="EW24" si="211">IF(AND(EV25&gt;0, EW20&gt;0),EW20,0)</f>
        <v>#REF!</v>
      </c>
      <c r="EX24" s="27" t="e">
        <f t="shared" ref="EX24" si="212">IF(AND(EW25&gt;0, EX20&gt;0),EX20,0)</f>
        <v>#REF!</v>
      </c>
      <c r="EY24" s="27" t="e">
        <f t="shared" ref="EY24" si="213">IF(AND(EX25&gt;0, EY20&gt;0),EY20,0)</f>
        <v>#REF!</v>
      </c>
      <c r="EZ24" s="27" t="e">
        <f t="shared" ref="EZ24" si="214">IF(AND(EY25&gt;0, EZ20&gt;0),EZ20,0)</f>
        <v>#REF!</v>
      </c>
      <c r="FA24" s="27" t="e">
        <f t="shared" ref="FA24" si="215">IF(AND(EZ25&gt;0, FA20&gt;0),FA20,0)</f>
        <v>#REF!</v>
      </c>
      <c r="FB24" s="27" t="e">
        <f t="shared" ref="FB24" si="216">IF(AND(FA25&gt;0, FB20&gt;0),FB20,0)</f>
        <v>#REF!</v>
      </c>
      <c r="FC24" s="27" t="e">
        <f t="shared" ref="FC24" si="217">IF(AND(FB25&gt;0, FC20&gt;0),FC20,0)</f>
        <v>#REF!</v>
      </c>
      <c r="FD24" s="27" t="e">
        <f t="shared" ref="FD24" si="218">IF(AND(FC25&gt;0, FD20&gt;0),FD20,0)</f>
        <v>#REF!</v>
      </c>
      <c r="FE24" s="27" t="e">
        <f t="shared" ref="FE24" si="219">IF(AND(FD25&gt;0, FE20&gt;0),FE20,0)</f>
        <v>#REF!</v>
      </c>
      <c r="FF24" s="27" t="e">
        <f t="shared" ref="FF24" si="220">IF(AND(FE25&gt;0, FF20&gt;0),FF20,0)</f>
        <v>#REF!</v>
      </c>
      <c r="FG24" s="27" t="e">
        <f t="shared" ref="FG24" si="221">IF(AND(FF25&gt;0, FG20&gt;0),FG20,0)</f>
        <v>#REF!</v>
      </c>
      <c r="FH24" s="27" t="e">
        <f t="shared" ref="FH24" si="222">IF(AND(FG25&gt;0, FH20&gt;0),FH20,0)</f>
        <v>#REF!</v>
      </c>
    </row>
    <row r="25" spans="1:164" x14ac:dyDescent="0.2">
      <c r="A25" t="s">
        <v>33</v>
      </c>
      <c r="C25" s="28">
        <f t="shared" ref="C25:AH25" si="223">B25*(1+$B$43)+C23-C24</f>
        <v>0</v>
      </c>
      <c r="D25" s="28">
        <f t="shared" si="223"/>
        <v>0</v>
      </c>
      <c r="E25" s="28">
        <f t="shared" si="223"/>
        <v>0</v>
      </c>
      <c r="F25" s="28">
        <f t="shared" si="223"/>
        <v>0</v>
      </c>
      <c r="G25" s="28">
        <f t="shared" si="223"/>
        <v>17570</v>
      </c>
      <c r="H25" s="28">
        <f t="shared" si="223"/>
        <v>17660.19266666667</v>
      </c>
      <c r="I25" s="28">
        <f t="shared" si="223"/>
        <v>17750.84832235556</v>
      </c>
      <c r="J25" s="28">
        <f t="shared" si="223"/>
        <v>17841.969343743654</v>
      </c>
      <c r="K25" s="28">
        <f t="shared" si="223"/>
        <v>17933.558119708207</v>
      </c>
      <c r="L25" s="28">
        <f t="shared" si="223"/>
        <v>18025.617051389378</v>
      </c>
      <c r="M25" s="28">
        <f t="shared" si="223"/>
        <v>18118.148552253177</v>
      </c>
      <c r="N25" s="28">
        <f t="shared" si="223"/>
        <v>18211.155048154746</v>
      </c>
      <c r="O25" s="28">
        <f t="shared" si="223"/>
        <v>28089.638977401941</v>
      </c>
      <c r="P25" s="28">
        <f t="shared" si="223"/>
        <v>28233.83245748594</v>
      </c>
      <c r="Q25" s="28">
        <f t="shared" si="223"/>
        <v>28378.766130767704</v>
      </c>
      <c r="R25" s="28">
        <f t="shared" si="223"/>
        <v>28524.443796905649</v>
      </c>
      <c r="S25" s="28">
        <f t="shared" si="223"/>
        <v>56455.869275063102</v>
      </c>
      <c r="T25" s="28">
        <f t="shared" si="223"/>
        <v>56745.676070675101</v>
      </c>
      <c r="U25" s="28">
        <f t="shared" si="223"/>
        <v>57036.970541171242</v>
      </c>
      <c r="V25" s="28">
        <f t="shared" si="223"/>
        <v>57329.760323282593</v>
      </c>
      <c r="W25" s="28">
        <f t="shared" si="223"/>
        <v>57624.053092942115</v>
      </c>
      <c r="X25" s="28">
        <f t="shared" si="223"/>
        <v>57919.85656548589</v>
      </c>
      <c r="Y25" s="28">
        <f t="shared" si="223"/>
        <v>58217.178495855391</v>
      </c>
      <c r="Z25" s="28">
        <f t="shared" si="223"/>
        <v>58516.026678800787</v>
      </c>
      <c r="AA25" s="28">
        <f t="shared" si="223"/>
        <v>86601.408949085308</v>
      </c>
      <c r="AB25" s="28">
        <f t="shared" si="223"/>
        <v>85295.962848357289</v>
      </c>
      <c r="AC25" s="28">
        <f t="shared" si="223"/>
        <v>83983.815457645527</v>
      </c>
      <c r="AD25" s="28">
        <f t="shared" si="223"/>
        <v>82664.93237699478</v>
      </c>
      <c r="AE25" s="28">
        <f t="shared" si="223"/>
        <v>109124.27902986336</v>
      </c>
      <c r="AF25" s="28">
        <f t="shared" si="223"/>
        <v>107934.45032888334</v>
      </c>
      <c r="AG25" s="28" t="e">
        <f t="shared" si="223"/>
        <v>#REF!</v>
      </c>
      <c r="AH25" s="28" t="e">
        <f t="shared" si="223"/>
        <v>#REF!</v>
      </c>
      <c r="AI25" s="28" t="e">
        <f t="shared" ref="AI25:BN25" si="224">AH25*(1+$B$43)+AI23-AI24</f>
        <v>#REF!</v>
      </c>
      <c r="AJ25" s="28" t="e">
        <f t="shared" si="224"/>
        <v>#REF!</v>
      </c>
      <c r="AK25" s="28" t="e">
        <f t="shared" si="224"/>
        <v>#REF!</v>
      </c>
      <c r="AL25" s="28" t="e">
        <f t="shared" si="224"/>
        <v>#REF!</v>
      </c>
      <c r="AM25" s="28" t="e">
        <f t="shared" si="224"/>
        <v>#REF!</v>
      </c>
      <c r="AN25" s="28" t="e">
        <f t="shared" si="224"/>
        <v>#REF!</v>
      </c>
      <c r="AO25" s="28" t="e">
        <f t="shared" si="224"/>
        <v>#REF!</v>
      </c>
      <c r="AP25" s="28" t="e">
        <f t="shared" si="224"/>
        <v>#REF!</v>
      </c>
      <c r="AQ25" s="28" t="e">
        <f t="shared" si="224"/>
        <v>#REF!</v>
      </c>
      <c r="AR25" s="28" t="e">
        <f t="shared" si="224"/>
        <v>#REF!</v>
      </c>
      <c r="AS25" s="28" t="e">
        <f t="shared" si="224"/>
        <v>#REF!</v>
      </c>
      <c r="AT25" s="28" t="e">
        <f t="shared" si="224"/>
        <v>#REF!</v>
      </c>
      <c r="AU25" s="28" t="e">
        <f t="shared" si="224"/>
        <v>#REF!</v>
      </c>
      <c r="AV25" s="28" t="e">
        <f t="shared" si="224"/>
        <v>#REF!</v>
      </c>
      <c r="AW25" s="28" t="e">
        <f t="shared" si="224"/>
        <v>#REF!</v>
      </c>
      <c r="AX25" s="28" t="e">
        <f t="shared" si="224"/>
        <v>#REF!</v>
      </c>
      <c r="AY25" s="28" t="e">
        <f t="shared" si="224"/>
        <v>#REF!</v>
      </c>
      <c r="AZ25" s="28" t="e">
        <f t="shared" si="224"/>
        <v>#REF!</v>
      </c>
      <c r="BA25" s="28" t="e">
        <f t="shared" si="224"/>
        <v>#REF!</v>
      </c>
      <c r="BB25" s="28" t="e">
        <f t="shared" si="224"/>
        <v>#REF!</v>
      </c>
      <c r="BC25" s="28" t="e">
        <f t="shared" si="224"/>
        <v>#REF!</v>
      </c>
      <c r="BD25" s="28" t="e">
        <f t="shared" si="224"/>
        <v>#REF!</v>
      </c>
      <c r="BE25" s="28" t="e">
        <f t="shared" si="224"/>
        <v>#REF!</v>
      </c>
      <c r="BF25" s="28" t="e">
        <f t="shared" si="224"/>
        <v>#REF!</v>
      </c>
      <c r="BG25" s="28" t="e">
        <f t="shared" si="224"/>
        <v>#REF!</v>
      </c>
      <c r="BH25" s="28" t="e">
        <f t="shared" si="224"/>
        <v>#REF!</v>
      </c>
      <c r="BI25" s="28" t="e">
        <f t="shared" si="224"/>
        <v>#REF!</v>
      </c>
      <c r="BJ25" s="28" t="e">
        <f t="shared" si="224"/>
        <v>#REF!</v>
      </c>
      <c r="BK25" s="28" t="e">
        <f t="shared" si="224"/>
        <v>#REF!</v>
      </c>
      <c r="BL25" s="28" t="e">
        <f t="shared" si="224"/>
        <v>#REF!</v>
      </c>
      <c r="BM25" s="28" t="e">
        <f t="shared" si="224"/>
        <v>#REF!</v>
      </c>
      <c r="BN25" s="28" t="e">
        <f t="shared" si="224"/>
        <v>#REF!</v>
      </c>
      <c r="BO25" s="28" t="e">
        <f t="shared" ref="BO25:CT25" si="225">BN25*(1+$B$43)+BO23-BO24</f>
        <v>#REF!</v>
      </c>
      <c r="BP25" s="28" t="e">
        <f t="shared" si="225"/>
        <v>#REF!</v>
      </c>
      <c r="BQ25" s="28" t="e">
        <f t="shared" si="225"/>
        <v>#REF!</v>
      </c>
      <c r="BR25" s="28" t="e">
        <f t="shared" si="225"/>
        <v>#REF!</v>
      </c>
      <c r="BS25" s="28" t="e">
        <f t="shared" si="225"/>
        <v>#REF!</v>
      </c>
      <c r="BT25" s="28" t="e">
        <f t="shared" si="225"/>
        <v>#REF!</v>
      </c>
      <c r="BU25" s="28" t="e">
        <f t="shared" si="225"/>
        <v>#REF!</v>
      </c>
      <c r="BV25" s="28" t="e">
        <f t="shared" si="225"/>
        <v>#REF!</v>
      </c>
      <c r="BW25" s="28" t="e">
        <f t="shared" si="225"/>
        <v>#REF!</v>
      </c>
      <c r="BX25" s="28" t="e">
        <f t="shared" si="225"/>
        <v>#REF!</v>
      </c>
      <c r="BY25" s="28" t="e">
        <f t="shared" si="225"/>
        <v>#REF!</v>
      </c>
      <c r="BZ25" s="28" t="e">
        <f t="shared" si="225"/>
        <v>#REF!</v>
      </c>
      <c r="CA25" s="28" t="e">
        <f t="shared" si="225"/>
        <v>#REF!</v>
      </c>
      <c r="CB25" s="28" t="e">
        <f t="shared" si="225"/>
        <v>#REF!</v>
      </c>
      <c r="CC25" s="28" t="e">
        <f t="shared" si="225"/>
        <v>#REF!</v>
      </c>
      <c r="CD25" s="28" t="e">
        <f t="shared" si="225"/>
        <v>#REF!</v>
      </c>
      <c r="CE25" s="28" t="e">
        <f t="shared" si="225"/>
        <v>#REF!</v>
      </c>
      <c r="CF25" s="28" t="e">
        <f t="shared" si="225"/>
        <v>#REF!</v>
      </c>
      <c r="CG25" s="28" t="e">
        <f t="shared" si="225"/>
        <v>#REF!</v>
      </c>
      <c r="CH25" s="28" t="e">
        <f t="shared" si="225"/>
        <v>#REF!</v>
      </c>
      <c r="CI25" s="28" t="e">
        <f t="shared" si="225"/>
        <v>#REF!</v>
      </c>
      <c r="CJ25" s="28" t="e">
        <f t="shared" si="225"/>
        <v>#REF!</v>
      </c>
      <c r="CK25" s="28" t="e">
        <f t="shared" si="225"/>
        <v>#REF!</v>
      </c>
      <c r="CL25" s="28" t="e">
        <f t="shared" si="225"/>
        <v>#REF!</v>
      </c>
      <c r="CM25" s="28" t="e">
        <f t="shared" si="225"/>
        <v>#REF!</v>
      </c>
      <c r="CN25" s="28" t="e">
        <f t="shared" si="225"/>
        <v>#REF!</v>
      </c>
      <c r="CO25" s="28" t="e">
        <f t="shared" si="225"/>
        <v>#REF!</v>
      </c>
      <c r="CP25" s="28" t="e">
        <f t="shared" si="225"/>
        <v>#REF!</v>
      </c>
      <c r="CQ25" s="28" t="e">
        <f t="shared" si="225"/>
        <v>#REF!</v>
      </c>
      <c r="CR25" s="28" t="e">
        <f t="shared" si="225"/>
        <v>#REF!</v>
      </c>
      <c r="CS25" s="28" t="e">
        <f t="shared" si="225"/>
        <v>#REF!</v>
      </c>
      <c r="CT25" s="28" t="e">
        <f t="shared" si="225"/>
        <v>#REF!</v>
      </c>
      <c r="CU25" s="28" t="e">
        <f t="shared" ref="CU25:DZ25" si="226">CT25*(1+$B$43)+CU23-CU24</f>
        <v>#REF!</v>
      </c>
      <c r="CV25" s="28" t="e">
        <f t="shared" si="226"/>
        <v>#REF!</v>
      </c>
      <c r="CW25" s="28" t="e">
        <f t="shared" si="226"/>
        <v>#REF!</v>
      </c>
      <c r="CX25" s="28" t="e">
        <f t="shared" si="226"/>
        <v>#REF!</v>
      </c>
      <c r="CY25" s="28" t="e">
        <f t="shared" si="226"/>
        <v>#REF!</v>
      </c>
      <c r="CZ25" s="28" t="e">
        <f t="shared" si="226"/>
        <v>#REF!</v>
      </c>
      <c r="DA25" s="28" t="e">
        <f t="shared" si="226"/>
        <v>#REF!</v>
      </c>
      <c r="DB25" s="28" t="e">
        <f t="shared" si="226"/>
        <v>#REF!</v>
      </c>
      <c r="DC25" s="28" t="e">
        <f t="shared" si="226"/>
        <v>#REF!</v>
      </c>
      <c r="DD25" s="28" t="e">
        <f t="shared" si="226"/>
        <v>#REF!</v>
      </c>
      <c r="DE25" s="28" t="e">
        <f t="shared" si="226"/>
        <v>#REF!</v>
      </c>
      <c r="DF25" s="28" t="e">
        <f t="shared" si="226"/>
        <v>#REF!</v>
      </c>
      <c r="DG25" s="28" t="e">
        <f t="shared" si="226"/>
        <v>#REF!</v>
      </c>
      <c r="DH25" s="28" t="e">
        <f t="shared" si="226"/>
        <v>#REF!</v>
      </c>
      <c r="DI25" s="28" t="e">
        <f t="shared" si="226"/>
        <v>#REF!</v>
      </c>
      <c r="DJ25" s="28" t="e">
        <f t="shared" si="226"/>
        <v>#REF!</v>
      </c>
      <c r="DK25" s="28" t="e">
        <f t="shared" si="226"/>
        <v>#REF!</v>
      </c>
      <c r="DL25" s="28" t="e">
        <f t="shared" si="226"/>
        <v>#REF!</v>
      </c>
      <c r="DM25" s="28" t="e">
        <f t="shared" si="226"/>
        <v>#REF!</v>
      </c>
      <c r="DN25" s="28" t="e">
        <f t="shared" si="226"/>
        <v>#REF!</v>
      </c>
      <c r="DO25" s="28" t="e">
        <f t="shared" si="226"/>
        <v>#REF!</v>
      </c>
      <c r="DP25" s="28" t="e">
        <f t="shared" si="226"/>
        <v>#REF!</v>
      </c>
      <c r="DQ25" s="28" t="e">
        <f t="shared" si="226"/>
        <v>#REF!</v>
      </c>
      <c r="DR25" s="28" t="e">
        <f t="shared" si="226"/>
        <v>#REF!</v>
      </c>
      <c r="DS25" s="28" t="e">
        <f t="shared" si="226"/>
        <v>#REF!</v>
      </c>
      <c r="DT25" s="28" t="e">
        <f t="shared" si="226"/>
        <v>#REF!</v>
      </c>
      <c r="DU25" s="28" t="e">
        <f t="shared" si="226"/>
        <v>#REF!</v>
      </c>
      <c r="DV25" s="28" t="e">
        <f t="shared" si="226"/>
        <v>#REF!</v>
      </c>
      <c r="DW25" s="28" t="e">
        <f t="shared" si="226"/>
        <v>#REF!</v>
      </c>
      <c r="DX25" s="28" t="e">
        <f t="shared" si="226"/>
        <v>#REF!</v>
      </c>
      <c r="DY25" s="28" t="e">
        <f t="shared" si="226"/>
        <v>#REF!</v>
      </c>
      <c r="DZ25" s="28" t="e">
        <f t="shared" si="226"/>
        <v>#REF!</v>
      </c>
      <c r="EA25" s="28" t="e">
        <f t="shared" ref="EA25:FF25" si="227">DZ25*(1+$B$43)+EA23-EA24</f>
        <v>#REF!</v>
      </c>
      <c r="EB25" s="28" t="e">
        <f t="shared" si="227"/>
        <v>#REF!</v>
      </c>
      <c r="EC25" s="28" t="e">
        <f t="shared" si="227"/>
        <v>#REF!</v>
      </c>
      <c r="ED25" s="28" t="e">
        <f t="shared" si="227"/>
        <v>#REF!</v>
      </c>
      <c r="EE25" s="28" t="e">
        <f t="shared" si="227"/>
        <v>#REF!</v>
      </c>
      <c r="EF25" s="28" t="e">
        <f t="shared" si="227"/>
        <v>#REF!</v>
      </c>
      <c r="EG25" s="28" t="e">
        <f t="shared" si="227"/>
        <v>#REF!</v>
      </c>
      <c r="EH25" s="28" t="e">
        <f t="shared" si="227"/>
        <v>#REF!</v>
      </c>
      <c r="EI25" s="28" t="e">
        <f t="shared" si="227"/>
        <v>#REF!</v>
      </c>
      <c r="EJ25" s="28" t="e">
        <f t="shared" si="227"/>
        <v>#REF!</v>
      </c>
      <c r="EK25" s="28" t="e">
        <f t="shared" si="227"/>
        <v>#REF!</v>
      </c>
      <c r="EL25" s="28" t="e">
        <f t="shared" si="227"/>
        <v>#REF!</v>
      </c>
      <c r="EM25" s="28" t="e">
        <f t="shared" si="227"/>
        <v>#REF!</v>
      </c>
      <c r="EN25" s="28" t="e">
        <f t="shared" si="227"/>
        <v>#REF!</v>
      </c>
      <c r="EO25" s="28" t="e">
        <f t="shared" si="227"/>
        <v>#REF!</v>
      </c>
      <c r="EP25" s="28" t="e">
        <f t="shared" si="227"/>
        <v>#REF!</v>
      </c>
      <c r="EQ25" s="28" t="e">
        <f t="shared" si="227"/>
        <v>#REF!</v>
      </c>
      <c r="ER25" s="28" t="e">
        <f t="shared" si="227"/>
        <v>#REF!</v>
      </c>
      <c r="ES25" s="28" t="e">
        <f t="shared" si="227"/>
        <v>#REF!</v>
      </c>
      <c r="ET25" s="28" t="e">
        <f t="shared" si="227"/>
        <v>#REF!</v>
      </c>
      <c r="EU25" s="28" t="e">
        <f t="shared" si="227"/>
        <v>#REF!</v>
      </c>
      <c r="EV25" s="28" t="e">
        <f t="shared" si="227"/>
        <v>#REF!</v>
      </c>
      <c r="EW25" s="28" t="e">
        <f t="shared" si="227"/>
        <v>#REF!</v>
      </c>
      <c r="EX25" s="28" t="e">
        <f t="shared" si="227"/>
        <v>#REF!</v>
      </c>
      <c r="EY25" s="28" t="e">
        <f t="shared" si="227"/>
        <v>#REF!</v>
      </c>
      <c r="EZ25" s="28" t="e">
        <f t="shared" si="227"/>
        <v>#REF!</v>
      </c>
      <c r="FA25" s="28" t="e">
        <f t="shared" si="227"/>
        <v>#REF!</v>
      </c>
      <c r="FB25" s="28" t="e">
        <f t="shared" si="227"/>
        <v>#REF!</v>
      </c>
      <c r="FC25" s="28" t="e">
        <f t="shared" si="227"/>
        <v>#REF!</v>
      </c>
      <c r="FD25" s="28" t="e">
        <f t="shared" si="227"/>
        <v>#REF!</v>
      </c>
      <c r="FE25" s="28" t="e">
        <f t="shared" si="227"/>
        <v>#REF!</v>
      </c>
      <c r="FF25" s="28" t="e">
        <f t="shared" si="227"/>
        <v>#REF!</v>
      </c>
      <c r="FG25" s="28" t="e">
        <f t="shared" ref="FG25:GL25" si="228">FF25*(1+$B$43)+FG23-FG24</f>
        <v>#REF!</v>
      </c>
      <c r="FH25" s="28" t="e">
        <f t="shared" si="228"/>
        <v>#REF!</v>
      </c>
    </row>
    <row r="26" spans="1:164" x14ac:dyDescent="0.2">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row>
    <row r="27" spans="1:164" x14ac:dyDescent="0.2">
      <c r="A27" s="1" t="s">
        <v>46</v>
      </c>
    </row>
    <row r="28" spans="1:164" x14ac:dyDescent="0.2">
      <c r="A28" s="1"/>
    </row>
    <row r="29" spans="1:164" x14ac:dyDescent="0.2">
      <c r="A29" t="s">
        <v>112</v>
      </c>
      <c r="B29" s="11">
        <f>COSTS_Example!F25</f>
        <v>55570</v>
      </c>
      <c r="D29" s="61" t="s">
        <v>110</v>
      </c>
      <c r="E29" s="62" t="s">
        <v>111</v>
      </c>
    </row>
    <row r="30" spans="1:164" x14ac:dyDescent="0.2">
      <c r="A30" t="s">
        <v>26</v>
      </c>
      <c r="B30" s="10">
        <v>4500</v>
      </c>
      <c r="D30" s="65">
        <v>1</v>
      </c>
      <c r="E30" s="63">
        <f>$B$38</f>
        <v>75000</v>
      </c>
      <c r="F30" s="60"/>
      <c r="G30" s="60"/>
      <c r="H30" s="60"/>
      <c r="I30" s="60"/>
      <c r="J30" s="60"/>
    </row>
    <row r="31" spans="1:164" x14ac:dyDescent="0.2">
      <c r="B31" s="27"/>
      <c r="D31" s="65">
        <v>2</v>
      </c>
      <c r="E31" s="63">
        <f>E30*(1+$B$39)</f>
        <v>78000</v>
      </c>
    </row>
    <row r="32" spans="1:164" x14ac:dyDescent="0.2">
      <c r="A32" s="1" t="s">
        <v>49</v>
      </c>
      <c r="D32" s="65">
        <v>3</v>
      </c>
      <c r="E32" s="63">
        <f>E31*(1+$B$39)</f>
        <v>81120</v>
      </c>
    </row>
    <row r="33" spans="1:5" x14ac:dyDescent="0.2">
      <c r="A33" t="s">
        <v>26</v>
      </c>
      <c r="B33" s="10">
        <v>4500</v>
      </c>
      <c r="D33" s="65">
        <v>4</v>
      </c>
      <c r="E33" s="63">
        <f t="shared" ref="E33:E36" si="229">E32*(1+$B$39)</f>
        <v>84364.800000000003</v>
      </c>
    </row>
    <row r="34" spans="1:5" x14ac:dyDescent="0.2">
      <c r="A34" t="s">
        <v>30</v>
      </c>
      <c r="B34" s="10">
        <v>18000</v>
      </c>
      <c r="D34" s="65">
        <v>5</v>
      </c>
      <c r="E34" s="63">
        <f t="shared" si="229"/>
        <v>87739.392000000007</v>
      </c>
    </row>
    <row r="35" spans="1:5" x14ac:dyDescent="0.2">
      <c r="A35" t="s">
        <v>50</v>
      </c>
      <c r="B35" s="10">
        <v>20000</v>
      </c>
      <c r="D35" s="65">
        <v>6</v>
      </c>
      <c r="E35" s="63">
        <f t="shared" si="229"/>
        <v>91248.967680000016</v>
      </c>
    </row>
    <row r="36" spans="1:5" x14ac:dyDescent="0.2">
      <c r="B36" s="27"/>
      <c r="D36" s="66">
        <v>7</v>
      </c>
      <c r="E36" s="64">
        <f t="shared" si="229"/>
        <v>94898.926387200016</v>
      </c>
    </row>
    <row r="37" spans="1:5" x14ac:dyDescent="0.2">
      <c r="A37" s="1" t="s">
        <v>48</v>
      </c>
      <c r="B37" s="27"/>
    </row>
    <row r="38" spans="1:5" x14ac:dyDescent="0.2">
      <c r="A38" t="s">
        <v>38</v>
      </c>
      <c r="B38" s="10">
        <v>75000</v>
      </c>
    </row>
    <row r="39" spans="1:5" x14ac:dyDescent="0.2">
      <c r="A39" t="s">
        <v>109</v>
      </c>
      <c r="B39" s="59">
        <v>0.04</v>
      </c>
    </row>
    <row r="41" spans="1:5" x14ac:dyDescent="0.2">
      <c r="A41" s="1" t="s">
        <v>29</v>
      </c>
    </row>
    <row r="42" spans="1:5" x14ac:dyDescent="0.2">
      <c r="A42" t="s">
        <v>35</v>
      </c>
      <c r="B42" s="23">
        <v>6.1600000000000002E-2</v>
      </c>
    </row>
    <row r="43" spans="1:5" x14ac:dyDescent="0.2">
      <c r="A43" t="s">
        <v>36</v>
      </c>
      <c r="B43" s="68">
        <f>B42/12</f>
        <v>5.1333333333333335E-3</v>
      </c>
    </row>
    <row r="44" spans="1:5" ht="17" thickBot="1" x14ac:dyDescent="0.25"/>
    <row r="45" spans="1:5" ht="17" thickBot="1" x14ac:dyDescent="0.25">
      <c r="A45" t="s">
        <v>39</v>
      </c>
      <c r="B45" s="21" t="e">
        <f>SUM(23:23)</f>
        <v>#REF!</v>
      </c>
    </row>
    <row r="46" spans="1:5" ht="17" thickBot="1" x14ac:dyDescent="0.25">
      <c r="A46" t="s">
        <v>53</v>
      </c>
      <c r="B46" s="30">
        <f>MATCH(-0.01,D25:ZZ25,-1)</f>
        <v>29</v>
      </c>
    </row>
    <row r="47" spans="1:5" ht="17" thickBot="1" x14ac:dyDescent="0.25">
      <c r="A47" t="s">
        <v>52</v>
      </c>
      <c r="B47" s="30" t="e">
        <f>B46-B49</f>
        <v>#REF!</v>
      </c>
    </row>
    <row r="49" spans="1:2" x14ac:dyDescent="0.2">
      <c r="A49" t="s">
        <v>51</v>
      </c>
      <c r="B49" s="25" t="e">
        <f>IF($L$2=1,24,IF($L$2=0,48,"Unknown"))</f>
        <v>#REF!</v>
      </c>
    </row>
  </sheetData>
  <conditionalFormatting sqref="D26:BO26 C23:FH25">
    <cfRule type="expression" dxfId="1" priority="3">
      <formula>C23&lt;&gt;0</formula>
    </cfRule>
  </conditionalFormatting>
  <conditionalFormatting sqref="C9:FH25">
    <cfRule type="expression" dxfId="0" priority="2">
      <formula>C$6&gt;$B$46</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README</vt:lpstr>
      <vt:lpstr>COSTS_Master</vt:lpstr>
      <vt:lpstr>CASHFLOWS_Master</vt:lpstr>
      <vt:lpstr>COSTS_Example</vt:lpstr>
      <vt:lpstr>CASHFLOWS_Example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Thomas Everman</dc:creator>
  <cp:lastModifiedBy>Benjamin Thomas Everman</cp:lastModifiedBy>
  <dcterms:created xsi:type="dcterms:W3CDTF">2022-01-25T18:41:00Z</dcterms:created>
  <dcterms:modified xsi:type="dcterms:W3CDTF">2022-03-30T18:08:43Z</dcterms:modified>
</cp:coreProperties>
</file>